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3"/>
  </bookViews>
  <sheets>
    <sheet name="COVER" sheetId="1" r:id="rId1"/>
    <sheet name="1_Data_Asli" sheetId="2" r:id="rId2"/>
    <sheet name="2_Normalisasi" sheetId="3" r:id="rId3"/>
    <sheet name="3_Centroid_Awal" sheetId="4" r:id="rId4"/>
    <sheet name="4_Iterasi_1" sheetId="5" r:id="rId5"/>
    <sheet name="4_Iterasi_2" sheetId="6" r:id="rId6"/>
    <sheet name="5_Centroid_Akhir" sheetId="7" r:id="rId7"/>
    <sheet name="6_Hasil_Akhir" sheetId="8" r:id="rId8"/>
    <sheet name="7_SSE" sheetId="9" r:id="rId9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" i="8" l="1"/>
  <c r="I17" i="8"/>
  <c r="H17" i="8"/>
  <c r="G17" i="8"/>
  <c r="F17" i="8"/>
  <c r="E17" i="8"/>
  <c r="D17" i="8"/>
  <c r="C17" i="8"/>
  <c r="B17" i="8"/>
  <c r="J16" i="8"/>
  <c r="I16" i="8"/>
  <c r="H16" i="8"/>
  <c r="G16" i="8"/>
  <c r="F16" i="8"/>
  <c r="E16" i="8"/>
  <c r="D16" i="8"/>
  <c r="C16" i="8"/>
  <c r="B16" i="8"/>
  <c r="J15" i="8"/>
  <c r="I15" i="8"/>
  <c r="H15" i="8"/>
  <c r="G15" i="8"/>
  <c r="F15" i="8"/>
  <c r="E15" i="8"/>
  <c r="D15" i="8"/>
  <c r="C15" i="8"/>
  <c r="B15" i="8"/>
  <c r="J14" i="8"/>
  <c r="I14" i="8"/>
  <c r="H14" i="8"/>
  <c r="G14" i="8"/>
  <c r="F14" i="8"/>
  <c r="E14" i="8"/>
  <c r="D14" i="8"/>
  <c r="C14" i="8"/>
  <c r="B14" i="8"/>
  <c r="J13" i="8"/>
  <c r="I13" i="8"/>
  <c r="H13" i="8"/>
  <c r="G13" i="8"/>
  <c r="F13" i="8"/>
  <c r="E13" i="8"/>
  <c r="D13" i="8"/>
  <c r="C13" i="8"/>
  <c r="B13" i="8"/>
  <c r="J12" i="8"/>
  <c r="I12" i="8"/>
  <c r="H12" i="8"/>
  <c r="G12" i="8"/>
  <c r="F12" i="8"/>
  <c r="E12" i="8"/>
  <c r="D12" i="8"/>
  <c r="C12" i="8"/>
  <c r="B12" i="8"/>
  <c r="J11" i="8"/>
  <c r="I11" i="8"/>
  <c r="H11" i="8"/>
  <c r="G11" i="8"/>
  <c r="F11" i="8"/>
  <c r="E11" i="8"/>
  <c r="D11" i="8"/>
  <c r="C11" i="8"/>
  <c r="B11" i="8"/>
  <c r="J10" i="8"/>
  <c r="I10" i="8"/>
  <c r="H10" i="8"/>
  <c r="G10" i="8"/>
  <c r="F10" i="8"/>
  <c r="E10" i="8"/>
  <c r="D10" i="8"/>
  <c r="C10" i="8"/>
  <c r="B10" i="8"/>
  <c r="J9" i="8"/>
  <c r="I9" i="8"/>
  <c r="H9" i="8"/>
  <c r="G9" i="8"/>
  <c r="F9" i="8"/>
  <c r="E9" i="8"/>
  <c r="D9" i="8"/>
  <c r="C9" i="8"/>
  <c r="B9" i="8"/>
  <c r="J8" i="8"/>
  <c r="I8" i="8"/>
  <c r="H8" i="8"/>
  <c r="G8" i="8"/>
  <c r="F8" i="8"/>
  <c r="E8" i="8"/>
  <c r="D8" i="8"/>
  <c r="C8" i="8"/>
  <c r="B8" i="8"/>
  <c r="J7" i="8"/>
  <c r="I7" i="8"/>
  <c r="H7" i="8"/>
  <c r="G7" i="8"/>
  <c r="F7" i="8"/>
  <c r="E7" i="8"/>
  <c r="D7" i="8"/>
  <c r="C7" i="8"/>
  <c r="B7" i="8"/>
  <c r="J6" i="8"/>
  <c r="I6" i="8"/>
  <c r="H6" i="8"/>
  <c r="G6" i="8"/>
  <c r="F6" i="8"/>
  <c r="E6" i="8"/>
  <c r="D6" i="8"/>
  <c r="C6" i="8"/>
  <c r="B6" i="8"/>
  <c r="J5" i="8"/>
  <c r="I5" i="8"/>
  <c r="H5" i="8"/>
  <c r="G5" i="8"/>
  <c r="F5" i="8"/>
  <c r="E5" i="8"/>
  <c r="D5" i="8"/>
  <c r="C5" i="8"/>
  <c r="B5" i="8"/>
  <c r="J4" i="8"/>
  <c r="I4" i="8"/>
  <c r="H4" i="8"/>
  <c r="G4" i="8"/>
  <c r="F4" i="8"/>
  <c r="E4" i="8"/>
  <c r="D4" i="8"/>
  <c r="C4" i="8"/>
  <c r="B4" i="8"/>
  <c r="J3" i="8"/>
  <c r="I3" i="8"/>
  <c r="H3" i="8"/>
  <c r="G3" i="8"/>
  <c r="F3" i="8"/>
  <c r="E3" i="8"/>
  <c r="D3" i="8"/>
  <c r="C3" i="8"/>
  <c r="B3" i="8"/>
  <c r="E8" i="4"/>
  <c r="E7" i="4"/>
  <c r="E6" i="4"/>
  <c r="C6" i="4"/>
  <c r="D6" i="5" s="1"/>
  <c r="E5" i="4"/>
  <c r="C5" i="4"/>
  <c r="C6" i="5" s="1"/>
  <c r="E4" i="4"/>
  <c r="L20" i="3"/>
  <c r="K20" i="3"/>
  <c r="J20" i="3"/>
  <c r="I20" i="3"/>
  <c r="H20" i="3"/>
  <c r="G20" i="3"/>
  <c r="F20" i="3"/>
  <c r="E20" i="3"/>
  <c r="D20" i="3"/>
  <c r="C20" i="3"/>
  <c r="L19" i="3"/>
  <c r="K19" i="3"/>
  <c r="J19" i="3"/>
  <c r="I19" i="3"/>
  <c r="H19" i="3"/>
  <c r="G19" i="3"/>
  <c r="F19" i="3"/>
  <c r="E19" i="3"/>
  <c r="D19" i="3"/>
  <c r="C19" i="3"/>
  <c r="J18" i="3"/>
  <c r="G18" i="3"/>
  <c r="L18" i="3" s="1"/>
  <c r="F18" i="3"/>
  <c r="K18" i="3" s="1"/>
  <c r="E18" i="3"/>
  <c r="D18" i="3"/>
  <c r="C18" i="3"/>
  <c r="H18" i="3" s="1"/>
  <c r="B18" i="3"/>
  <c r="J17" i="3"/>
  <c r="G17" i="3"/>
  <c r="L17" i="3" s="1"/>
  <c r="F17" i="3"/>
  <c r="K17" i="3" s="1"/>
  <c r="E17" i="3"/>
  <c r="D17" i="3"/>
  <c r="I17" i="3" s="1"/>
  <c r="C17" i="3"/>
  <c r="H17" i="3" s="1"/>
  <c r="B17" i="3"/>
  <c r="J16" i="3"/>
  <c r="G16" i="3"/>
  <c r="L16" i="3" s="1"/>
  <c r="F16" i="3"/>
  <c r="E16" i="3"/>
  <c r="D16" i="3"/>
  <c r="I16" i="3" s="1"/>
  <c r="C16" i="3"/>
  <c r="H16" i="3" s="1"/>
  <c r="B16" i="3"/>
  <c r="J15" i="3"/>
  <c r="G15" i="3"/>
  <c r="L15" i="3" s="1"/>
  <c r="F15" i="3"/>
  <c r="K15" i="3" s="1"/>
  <c r="E15" i="3"/>
  <c r="D15" i="3"/>
  <c r="I15" i="3" s="1"/>
  <c r="C15" i="3"/>
  <c r="H15" i="3" s="1"/>
  <c r="B15" i="3"/>
  <c r="J14" i="3"/>
  <c r="G14" i="3"/>
  <c r="L14" i="3" s="1"/>
  <c r="F14" i="3"/>
  <c r="K14" i="3" s="1"/>
  <c r="E14" i="3"/>
  <c r="D14" i="3"/>
  <c r="I14" i="3" s="1"/>
  <c r="C14" i="3"/>
  <c r="H14" i="3" s="1"/>
  <c r="B14" i="3"/>
  <c r="J13" i="3"/>
  <c r="G13" i="3"/>
  <c r="L13" i="3" s="1"/>
  <c r="F13" i="3"/>
  <c r="K13" i="3" s="1"/>
  <c r="E13" i="3"/>
  <c r="D13" i="3"/>
  <c r="I13" i="3" s="1"/>
  <c r="C13" i="3"/>
  <c r="H13" i="3" s="1"/>
  <c r="B13" i="3"/>
  <c r="J12" i="3"/>
  <c r="G12" i="3"/>
  <c r="L12" i="3" s="1"/>
  <c r="F12" i="3"/>
  <c r="K12" i="3" s="1"/>
  <c r="E12" i="3"/>
  <c r="D12" i="3"/>
  <c r="I12" i="3" s="1"/>
  <c r="C12" i="3"/>
  <c r="H12" i="3" s="1"/>
  <c r="B12" i="3"/>
  <c r="J11" i="3"/>
  <c r="G11" i="3"/>
  <c r="L11" i="3" s="1"/>
  <c r="F11" i="3"/>
  <c r="K11" i="3" s="1"/>
  <c r="E11" i="3"/>
  <c r="D11" i="3"/>
  <c r="I11" i="3" s="1"/>
  <c r="C11" i="3"/>
  <c r="H11" i="3" s="1"/>
  <c r="B11" i="3"/>
  <c r="J10" i="3"/>
  <c r="G10" i="3"/>
  <c r="L10" i="3" s="1"/>
  <c r="F10" i="3"/>
  <c r="K10" i="3" s="1"/>
  <c r="E10" i="3"/>
  <c r="D10" i="3"/>
  <c r="I10" i="3" s="1"/>
  <c r="C10" i="3"/>
  <c r="H10" i="3" s="1"/>
  <c r="B10" i="3"/>
  <c r="K9" i="3"/>
  <c r="C7" i="4" s="1"/>
  <c r="E6" i="5" s="1"/>
  <c r="J9" i="3"/>
  <c r="G9" i="3"/>
  <c r="L9" i="3" s="1"/>
  <c r="F9" i="3"/>
  <c r="E9" i="3"/>
  <c r="D9" i="3"/>
  <c r="I9" i="3" s="1"/>
  <c r="C9" i="3"/>
  <c r="H9" i="3" s="1"/>
  <c r="B9" i="3"/>
  <c r="K8" i="3"/>
  <c r="J8" i="3"/>
  <c r="G8" i="3"/>
  <c r="L8" i="3" s="1"/>
  <c r="F8" i="3"/>
  <c r="E8" i="3"/>
  <c r="D8" i="3"/>
  <c r="I8" i="3" s="1"/>
  <c r="C8" i="3"/>
  <c r="H8" i="3" s="1"/>
  <c r="B8" i="3"/>
  <c r="K7" i="3"/>
  <c r="J7" i="3"/>
  <c r="G7" i="3"/>
  <c r="L7" i="3" s="1"/>
  <c r="F7" i="3"/>
  <c r="E7" i="3"/>
  <c r="D7" i="3"/>
  <c r="I7" i="3" s="1"/>
  <c r="C7" i="3"/>
  <c r="H7" i="3" s="1"/>
  <c r="B7" i="3"/>
  <c r="K6" i="3"/>
  <c r="J6" i="3"/>
  <c r="G6" i="3"/>
  <c r="L6" i="3" s="1"/>
  <c r="F6" i="3"/>
  <c r="E6" i="3"/>
  <c r="D6" i="3"/>
  <c r="I6" i="3" s="1"/>
  <c r="C6" i="3"/>
  <c r="H6" i="3" s="1"/>
  <c r="B6" i="3"/>
  <c r="G5" i="3"/>
  <c r="L5" i="3" s="1"/>
  <c r="F5" i="3"/>
  <c r="K5" i="3" s="1"/>
  <c r="E5" i="3"/>
  <c r="J5" i="3" s="1"/>
  <c r="D5" i="3"/>
  <c r="I5" i="3" s="1"/>
  <c r="C5" i="3"/>
  <c r="H5" i="3" s="1"/>
  <c r="B5" i="3"/>
  <c r="K4" i="3"/>
  <c r="I4" i="3"/>
  <c r="G4" i="3"/>
  <c r="L4" i="3" s="1"/>
  <c r="F4" i="3"/>
  <c r="E4" i="3"/>
  <c r="J4" i="3" s="1"/>
  <c r="D4" i="3"/>
  <c r="C4" i="3"/>
  <c r="H4" i="3" s="1"/>
  <c r="B4" i="3"/>
  <c r="A4" i="3"/>
  <c r="I18" i="2"/>
  <c r="H18" i="2"/>
  <c r="G18" i="2"/>
  <c r="F18" i="2"/>
  <c r="E18" i="2"/>
  <c r="D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4" i="8" s="1"/>
  <c r="A3" i="2"/>
  <c r="A3" i="8" s="1"/>
  <c r="B4" i="4" l="1"/>
  <c r="B5" i="5" s="1"/>
  <c r="B6" i="4"/>
  <c r="D5" i="5" s="1"/>
  <c r="B8" i="4"/>
  <c r="F5" i="5" s="1"/>
  <c r="C11" i="5"/>
  <c r="A8" i="8"/>
  <c r="A9" i="3"/>
  <c r="A12" i="8"/>
  <c r="A13" i="3"/>
  <c r="A16" i="8"/>
  <c r="A17" i="3"/>
  <c r="A4" i="9"/>
  <c r="A10" i="6"/>
  <c r="A10" i="5"/>
  <c r="A5" i="3"/>
  <c r="D12" i="5"/>
  <c r="B13" i="9"/>
  <c r="B19" i="5"/>
  <c r="B19" i="6"/>
  <c r="D4" i="4"/>
  <c r="B7" i="5" s="1"/>
  <c r="E14" i="5" s="1"/>
  <c r="D8" i="4"/>
  <c r="F7" i="5" s="1"/>
  <c r="B17" i="9"/>
  <c r="B23" i="6"/>
  <c r="B23" i="5"/>
  <c r="C20" i="5"/>
  <c r="A5" i="8"/>
  <c r="A6" i="3"/>
  <c r="A9" i="8"/>
  <c r="A10" i="3"/>
  <c r="A13" i="8"/>
  <c r="A14" i="3"/>
  <c r="A17" i="8"/>
  <c r="A18" i="3"/>
  <c r="B4" i="9"/>
  <c r="B10" i="5"/>
  <c r="B10" i="6"/>
  <c r="B5" i="9"/>
  <c r="B11" i="6"/>
  <c r="B11" i="5"/>
  <c r="B12" i="9"/>
  <c r="B18" i="5"/>
  <c r="B18" i="6"/>
  <c r="D5" i="4"/>
  <c r="C7" i="5" s="1"/>
  <c r="E13" i="5" s="1"/>
  <c r="D6" i="4"/>
  <c r="D7" i="5" s="1"/>
  <c r="E22" i="5" s="1"/>
  <c r="B16" i="9"/>
  <c r="B22" i="6"/>
  <c r="B22" i="5"/>
  <c r="K16" i="3"/>
  <c r="E23" i="5"/>
  <c r="I18" i="3"/>
  <c r="B5" i="4"/>
  <c r="C5" i="5" s="1"/>
  <c r="C10" i="5" s="1"/>
  <c r="A6" i="8"/>
  <c r="A7" i="3"/>
  <c r="A10" i="8"/>
  <c r="A11" i="3"/>
  <c r="A14" i="8"/>
  <c r="A15" i="3"/>
  <c r="B7" i="4"/>
  <c r="E5" i="5" s="1"/>
  <c r="C12" i="5" s="1"/>
  <c r="B11" i="9"/>
  <c r="B17" i="5"/>
  <c r="B17" i="6"/>
  <c r="E18" i="5"/>
  <c r="B15" i="9"/>
  <c r="B21" i="6"/>
  <c r="B21" i="5"/>
  <c r="C4" i="4"/>
  <c r="B6" i="5" s="1"/>
  <c r="D15" i="5" s="1"/>
  <c r="C8" i="4"/>
  <c r="F6" i="5" s="1"/>
  <c r="C13" i="5"/>
  <c r="C15" i="5"/>
  <c r="A7" i="8"/>
  <c r="A8" i="3"/>
  <c r="A11" i="8"/>
  <c r="A12" i="3"/>
  <c r="A15" i="8"/>
  <c r="A16" i="3"/>
  <c r="B6" i="9"/>
  <c r="B12" i="5"/>
  <c r="B12" i="6"/>
  <c r="B7" i="9"/>
  <c r="B13" i="5"/>
  <c r="B13" i="6"/>
  <c r="B8" i="9"/>
  <c r="B14" i="5"/>
  <c r="B14" i="6"/>
  <c r="B9" i="9"/>
  <c r="B15" i="5"/>
  <c r="B15" i="6"/>
  <c r="B10" i="9"/>
  <c r="B16" i="5"/>
  <c r="B16" i="6"/>
  <c r="D17" i="5"/>
  <c r="B14" i="9"/>
  <c r="B20" i="5"/>
  <c r="B20" i="6"/>
  <c r="D7" i="4"/>
  <c r="E7" i="5" s="1"/>
  <c r="D21" i="5"/>
  <c r="B24" i="6"/>
  <c r="B18" i="9"/>
  <c r="B24" i="5"/>
  <c r="D24" i="5" l="1"/>
  <c r="E20" i="5"/>
  <c r="E15" i="5"/>
  <c r="A13" i="9"/>
  <c r="A19" i="6"/>
  <c r="A19" i="5"/>
  <c r="E11" i="5"/>
  <c r="D10" i="5"/>
  <c r="F10" i="5" s="1"/>
  <c r="A16" i="9"/>
  <c r="A22" i="6"/>
  <c r="A22" i="5"/>
  <c r="A8" i="9"/>
  <c r="A14" i="6"/>
  <c r="A14" i="5"/>
  <c r="A11" i="9"/>
  <c r="A17" i="6"/>
  <c r="A17" i="5"/>
  <c r="D19" i="5"/>
  <c r="A14" i="9"/>
  <c r="A20" i="6"/>
  <c r="A20" i="5"/>
  <c r="A6" i="9"/>
  <c r="A12" i="6"/>
  <c r="A12" i="5"/>
  <c r="C14" i="5"/>
  <c r="E24" i="5"/>
  <c r="D14" i="5"/>
  <c r="E12" i="5"/>
  <c r="F12" i="5" s="1"/>
  <c r="G12" i="5" s="1"/>
  <c r="C18" i="5"/>
  <c r="E10" i="5"/>
  <c r="E21" i="5"/>
  <c r="D22" i="5"/>
  <c r="D16" i="5"/>
  <c r="D13" i="5"/>
  <c r="F13" i="5" s="1"/>
  <c r="G13" i="5" s="1"/>
  <c r="D23" i="5"/>
  <c r="E19" i="5"/>
  <c r="A5" i="9"/>
  <c r="A11" i="6"/>
  <c r="A11" i="5"/>
  <c r="A17" i="9"/>
  <c r="A23" i="6"/>
  <c r="A23" i="5"/>
  <c r="A9" i="9"/>
  <c r="A15" i="6"/>
  <c r="A15" i="5"/>
  <c r="D11" i="5"/>
  <c r="H11" i="5" s="1"/>
  <c r="E17" i="5"/>
  <c r="A12" i="9"/>
  <c r="A18" i="6"/>
  <c r="A18" i="5"/>
  <c r="F15" i="5"/>
  <c r="G15" i="5" s="1"/>
  <c r="H15" i="5"/>
  <c r="D18" i="5"/>
  <c r="A15" i="9"/>
  <c r="A21" i="6"/>
  <c r="A21" i="5"/>
  <c r="A7" i="9"/>
  <c r="A13" i="6"/>
  <c r="A13" i="5"/>
  <c r="E16" i="5"/>
  <c r="A18" i="9"/>
  <c r="A24" i="6"/>
  <c r="A24" i="5"/>
  <c r="A10" i="9"/>
  <c r="A16" i="6"/>
  <c r="A16" i="5"/>
  <c r="C24" i="5"/>
  <c r="D20" i="5"/>
  <c r="H20" i="5" s="1"/>
  <c r="C23" i="5"/>
  <c r="C21" i="5"/>
  <c r="C19" i="5"/>
  <c r="C17" i="5"/>
  <c r="C22" i="5"/>
  <c r="C16" i="5"/>
  <c r="G10" i="5" l="1"/>
  <c r="F17" i="5"/>
  <c r="G17" i="5" s="1"/>
  <c r="H17" i="5"/>
  <c r="F18" i="5"/>
  <c r="G18" i="5" s="1"/>
  <c r="H18" i="5"/>
  <c r="F14" i="5"/>
  <c r="G14" i="5" s="1"/>
  <c r="H14" i="5"/>
  <c r="F11" i="5"/>
  <c r="G11" i="5" s="1"/>
  <c r="F20" i="5"/>
  <c r="G20" i="5" s="1"/>
  <c r="H12" i="5"/>
  <c r="F19" i="5"/>
  <c r="G19" i="5" s="1"/>
  <c r="H19" i="5"/>
  <c r="F16" i="5"/>
  <c r="G16" i="5" s="1"/>
  <c r="H16" i="5"/>
  <c r="F21" i="5"/>
  <c r="G21" i="5" s="1"/>
  <c r="H21" i="5"/>
  <c r="H13" i="5"/>
  <c r="H10" i="5"/>
  <c r="F24" i="5"/>
  <c r="G24" i="5" s="1"/>
  <c r="H24" i="5"/>
  <c r="F22" i="5"/>
  <c r="G22" i="5" s="1"/>
  <c r="H22" i="5"/>
  <c r="F23" i="5"/>
  <c r="G23" i="5" s="1"/>
  <c r="H23" i="5"/>
  <c r="B7" i="6" l="1"/>
  <c r="C6" i="6"/>
  <c r="B5" i="6"/>
  <c r="C5" i="6"/>
  <c r="E5" i="6"/>
  <c r="F5" i="6"/>
  <c r="B6" i="6"/>
  <c r="F7" i="6"/>
  <c r="D6" i="6"/>
  <c r="E6" i="6"/>
  <c r="F6" i="6"/>
  <c r="D5" i="6"/>
  <c r="C7" i="6"/>
  <c r="D7" i="6"/>
  <c r="E7" i="6"/>
  <c r="D11" i="6" l="1"/>
  <c r="D14" i="6"/>
  <c r="D19" i="6"/>
  <c r="D23" i="6"/>
  <c r="D12" i="6"/>
  <c r="D24" i="6"/>
  <c r="D17" i="6"/>
  <c r="D15" i="6"/>
  <c r="D20" i="6"/>
  <c r="D18" i="6"/>
  <c r="D21" i="6"/>
  <c r="D10" i="6"/>
  <c r="D13" i="6"/>
  <c r="D16" i="6"/>
  <c r="D22" i="6"/>
  <c r="C20" i="6"/>
  <c r="C23" i="6"/>
  <c r="C22" i="6"/>
  <c r="C17" i="6"/>
  <c r="C24" i="6"/>
  <c r="C18" i="6"/>
  <c r="C10" i="6"/>
  <c r="C14" i="6"/>
  <c r="C19" i="6"/>
  <c r="C13" i="6"/>
  <c r="C16" i="6"/>
  <c r="C11" i="6"/>
  <c r="C12" i="6"/>
  <c r="C15" i="6"/>
  <c r="C21" i="6"/>
  <c r="E12" i="6"/>
  <c r="E24" i="6"/>
  <c r="E21" i="6"/>
  <c r="E15" i="6"/>
  <c r="E20" i="6"/>
  <c r="E18" i="6"/>
  <c r="E10" i="6"/>
  <c r="E11" i="6"/>
  <c r="E23" i="6"/>
  <c r="E13" i="6"/>
  <c r="E16" i="6"/>
  <c r="E22" i="6"/>
  <c r="E17" i="6"/>
  <c r="E14" i="6"/>
  <c r="E19" i="6"/>
  <c r="F12" i="6" l="1"/>
  <c r="H12" i="6"/>
  <c r="F19" i="6"/>
  <c r="H19" i="6"/>
  <c r="F24" i="6"/>
  <c r="H24" i="6"/>
  <c r="F20" i="6"/>
  <c r="H20" i="6"/>
  <c r="F11" i="6"/>
  <c r="H11" i="6"/>
  <c r="F14" i="6"/>
  <c r="H14" i="6"/>
  <c r="F17" i="6"/>
  <c r="H17" i="6"/>
  <c r="F21" i="6"/>
  <c r="H21" i="6"/>
  <c r="F16" i="6"/>
  <c r="H16" i="6"/>
  <c r="H10" i="6"/>
  <c r="F10" i="6"/>
  <c r="F22" i="6"/>
  <c r="H22" i="6"/>
  <c r="F15" i="6"/>
  <c r="H15" i="6"/>
  <c r="F13" i="6"/>
  <c r="H13" i="6"/>
  <c r="F18" i="6"/>
  <c r="H18" i="6"/>
  <c r="F23" i="6"/>
  <c r="H23" i="6"/>
  <c r="K16" i="8" l="1"/>
  <c r="G23" i="6"/>
  <c r="L16" i="8" s="1"/>
  <c r="K9" i="8"/>
  <c r="G16" i="6"/>
  <c r="L9" i="8" s="1"/>
  <c r="K3" i="8"/>
  <c r="D11" i="7"/>
  <c r="D7" i="7"/>
  <c r="C6" i="7"/>
  <c r="G17" i="9" s="1"/>
  <c r="B5" i="7"/>
  <c r="D3" i="7"/>
  <c r="F11" i="7" s="1"/>
  <c r="C10" i="7"/>
  <c r="C7" i="7"/>
  <c r="H10" i="9" s="1"/>
  <c r="B6" i="7"/>
  <c r="D4" i="7"/>
  <c r="C3" i="7"/>
  <c r="F10" i="7" s="1"/>
  <c r="B7" i="7"/>
  <c r="H4" i="9" s="1"/>
  <c r="D5" i="7"/>
  <c r="C4" i="7"/>
  <c r="E15" i="9" s="1"/>
  <c r="B3" i="7"/>
  <c r="F9" i="7" s="1"/>
  <c r="D6" i="7"/>
  <c r="G12" i="9" s="1"/>
  <c r="C5" i="7"/>
  <c r="F17" i="9" s="1"/>
  <c r="B4" i="7"/>
  <c r="G10" i="6"/>
  <c r="L3" i="8" s="1"/>
  <c r="B9" i="7"/>
  <c r="E4" i="9"/>
  <c r="G4" i="9"/>
  <c r="F4" i="9"/>
  <c r="K11" i="8"/>
  <c r="G18" i="6"/>
  <c r="L11" i="8" s="1"/>
  <c r="D12" i="9"/>
  <c r="F12" i="9"/>
  <c r="H12" i="9"/>
  <c r="E12" i="9"/>
  <c r="K14" i="8"/>
  <c r="G21" i="6"/>
  <c r="L14" i="8" s="1"/>
  <c r="H15" i="9"/>
  <c r="F15" i="9"/>
  <c r="D15" i="9"/>
  <c r="G15" i="9"/>
  <c r="K7" i="8"/>
  <c r="G14" i="6"/>
  <c r="L7" i="8" s="1"/>
  <c r="F8" i="9"/>
  <c r="G8" i="9"/>
  <c r="D8" i="9"/>
  <c r="H8" i="9"/>
  <c r="K12" i="8"/>
  <c r="G19" i="6"/>
  <c r="L12" i="8" s="1"/>
  <c r="C13" i="9"/>
  <c r="H13" i="9"/>
  <c r="G13" i="9"/>
  <c r="D13" i="9"/>
  <c r="E13" i="9"/>
  <c r="F13" i="9"/>
  <c r="K8" i="8"/>
  <c r="G15" i="6"/>
  <c r="L8" i="8" s="1"/>
  <c r="C9" i="9"/>
  <c r="D9" i="9"/>
  <c r="H9" i="9"/>
  <c r="E9" i="9"/>
  <c r="F9" i="9"/>
  <c r="G9" i="9"/>
  <c r="K13" i="8"/>
  <c r="G20" i="6"/>
  <c r="L13" i="8" s="1"/>
  <c r="C14" i="9"/>
  <c r="E14" i="9"/>
  <c r="H14" i="9"/>
  <c r="F14" i="9"/>
  <c r="D14" i="9"/>
  <c r="K6" i="8"/>
  <c r="G13" i="6"/>
  <c r="L6" i="8" s="1"/>
  <c r="H7" i="9"/>
  <c r="D7" i="9"/>
  <c r="G7" i="9"/>
  <c r="E7" i="9"/>
  <c r="F7" i="9"/>
  <c r="K15" i="8"/>
  <c r="G22" i="6"/>
  <c r="L15" i="8" s="1"/>
  <c r="D16" i="9"/>
  <c r="H16" i="9"/>
  <c r="F16" i="9"/>
  <c r="G16" i="9"/>
  <c r="K10" i="8"/>
  <c r="G17" i="6"/>
  <c r="L10" i="8" s="1"/>
  <c r="D11" i="9"/>
  <c r="F11" i="9"/>
  <c r="E11" i="9"/>
  <c r="G11" i="9"/>
  <c r="H11" i="9"/>
  <c r="K4" i="8"/>
  <c r="G11" i="6"/>
  <c r="L4" i="8" s="1"/>
  <c r="H5" i="9"/>
  <c r="F5" i="9"/>
  <c r="D5" i="9"/>
  <c r="E5" i="9"/>
  <c r="K17" i="8"/>
  <c r="G24" i="6"/>
  <c r="L17" i="8" s="1"/>
  <c r="C18" i="9"/>
  <c r="H18" i="9"/>
  <c r="F18" i="9"/>
  <c r="D18" i="9"/>
  <c r="G18" i="9"/>
  <c r="E18" i="9"/>
  <c r="K5" i="8"/>
  <c r="G12" i="6"/>
  <c r="L5" i="8" s="1"/>
  <c r="C6" i="9"/>
  <c r="F6" i="9"/>
  <c r="H6" i="9"/>
  <c r="G6" i="9"/>
  <c r="E6" i="9"/>
  <c r="D6" i="9"/>
  <c r="G10" i="9" l="1"/>
  <c r="F10" i="9"/>
  <c r="H17" i="9"/>
  <c r="I15" i="9"/>
  <c r="I18" i="9"/>
  <c r="E10" i="9"/>
  <c r="C10" i="9"/>
  <c r="E17" i="9"/>
  <c r="C17" i="9"/>
  <c r="C5" i="9"/>
  <c r="C11" i="9"/>
  <c r="C7" i="9"/>
  <c r="D17" i="9"/>
  <c r="I17" i="9" s="1"/>
  <c r="I13" i="9"/>
  <c r="C15" i="9"/>
  <c r="C16" i="9"/>
  <c r="I7" i="9"/>
  <c r="G14" i="9"/>
  <c r="C8" i="9"/>
  <c r="I12" i="9"/>
  <c r="C12" i="9"/>
  <c r="I6" i="9"/>
  <c r="G5" i="9"/>
  <c r="I5" i="9" s="1"/>
  <c r="D23" i="9" s="1"/>
  <c r="I11" i="9"/>
  <c r="E16" i="9"/>
  <c r="I16" i="9" s="1"/>
  <c r="I14" i="9"/>
  <c r="I9" i="9"/>
  <c r="E8" i="9"/>
  <c r="I8" i="9" s="1"/>
  <c r="D4" i="9"/>
  <c r="I4" i="9" s="1"/>
  <c r="D21" i="9" s="1"/>
  <c r="C4" i="9"/>
  <c r="D10" i="9"/>
  <c r="I10" i="9" s="1"/>
  <c r="D22" i="9" l="1"/>
  <c r="D25" i="9" s="1"/>
</calcChain>
</file>

<file path=xl/sharedStrings.xml><?xml version="1.0" encoding="utf-8"?>
<sst xmlns="http://schemas.openxmlformats.org/spreadsheetml/2006/main" count="231" uniqueCount="162">
  <si>
    <t>PERHITUNGAN MANUAL ALGORITMA K-MEANS CLUSTERING</t>
  </si>
  <si>
    <t>Sistem Pemetaan Potensi Wisata Kabupaten Magelang</t>
  </si>
  <si>
    <t>Objek Penelitian</t>
  </si>
  <si>
    <t>15 Destinasi Wisata Kabupaten Magelang</t>
  </si>
  <si>
    <t>Jumlah Cluster (K)</t>
  </si>
  <si>
    <t>3</t>
  </si>
  <si>
    <t>Kriteria</t>
  </si>
  <si>
    <t>Daya Tarik, Aksesibilitas, Fasilitas, Sarana, Ulasan</t>
  </si>
  <si>
    <t>Normalisasi</t>
  </si>
  <si>
    <t>Min-Max Normalization → Rentang [0, 1]</t>
  </si>
  <si>
    <t>Inisialisasi Centroid</t>
  </si>
  <si>
    <t>Uniform Sampling (setiap ke-5 data)</t>
  </si>
  <si>
    <t>Total Iterasi</t>
  </si>
  <si>
    <t>2</t>
  </si>
  <si>
    <t>SSE Akhir</t>
  </si>
  <si>
    <t>3.8759</t>
  </si>
  <si>
    <t>Status</t>
  </si>
  <si>
    <t>Konvergen ✔</t>
  </si>
  <si>
    <t>DAFTAR SHEET DALAM WORKBOOK INI</t>
  </si>
  <si>
    <t>1_Data_Asli</t>
  </si>
  <si>
    <t>Data asli 15 destinasi wisata beserta seluruh kriteria</t>
  </si>
  <si>
    <t>2_Normalisasi</t>
  </si>
  <si>
    <t>Perhitungan Min-Max Normalization untuk setiap kriteria</t>
  </si>
  <si>
    <t>3_Centroid_Awal</t>
  </si>
  <si>
    <t>Nilai centroid awal (Iterasi-1) sebelum clustering dimulai</t>
  </si>
  <si>
    <t>4_Iterasi_1</t>
  </si>
  <si>
    <t>Matriks jarak Euclidean &amp; penugasan cluster – Iterasi 1</t>
  </si>
  <si>
    <t>4_Iterasi_2</t>
  </si>
  <si>
    <t>Matriks jarak Euclidean &amp; penugasan cluster – Iterasi 2</t>
  </si>
  <si>
    <t>5_Centroid_Akhir</t>
  </si>
  <si>
    <t>Nilai centroid final setelah konvergen</t>
  </si>
  <si>
    <t>6_Hasil_Akhir</t>
  </si>
  <si>
    <t>Tabel hasil clustering lengkap semua destinasi</t>
  </si>
  <si>
    <t>7_SSE</t>
  </si>
  <si>
    <t>Perhitungan Sum of Squared Error (SSE) per cluster</t>
  </si>
  <si>
    <t>DATA ASLI DESTINASI WISATA KABUPATEN MAGELANG</t>
  </si>
  <si>
    <t>No</t>
  </si>
  <si>
    <t>Nama Destinasi</t>
  </si>
  <si>
    <t>Jenis Wisata</t>
  </si>
  <si>
    <t>Daya Tarik
(1-10)</t>
  </si>
  <si>
    <t>Aksesibilitas
(1-10)</t>
  </si>
  <si>
    <t>Fasilitas
(1-10)</t>
  </si>
  <si>
    <t>Sarana
(1-10)</t>
  </si>
  <si>
    <t>Ulasan
(1-5)</t>
  </si>
  <si>
    <t>Pengunjung
/Tahun</t>
  </si>
  <si>
    <t>Rating
(1-5)</t>
  </si>
  <si>
    <t>Candi Borobudur</t>
  </si>
  <si>
    <t>Budaya</t>
  </si>
  <si>
    <t>Candi Mendut</t>
  </si>
  <si>
    <t>Candi Pawon</t>
  </si>
  <si>
    <t>Ketep Pass</t>
  </si>
  <si>
    <t>Alam</t>
  </si>
  <si>
    <t>Punthuk Setumbu</t>
  </si>
  <si>
    <t>Air Terjun Kedung Kayang</t>
  </si>
  <si>
    <t>Desa Wisata Candirejo</t>
  </si>
  <si>
    <t>Desa Wisata</t>
  </si>
  <si>
    <t>Desa Wisata Ngargogondo</t>
  </si>
  <si>
    <t>Masjid Agung Magelang</t>
  </si>
  <si>
    <t>Religi</t>
  </si>
  <si>
    <t>Makam Kyai Raden Santri</t>
  </si>
  <si>
    <t>Taman Kyai Langgeng</t>
  </si>
  <si>
    <t>Taman</t>
  </si>
  <si>
    <t>Kebun Teh Ngluwar</t>
  </si>
  <si>
    <t>Gunung Merbabu (basecamp)</t>
  </si>
  <si>
    <t>Sunrise Puthuk Mongkrong</t>
  </si>
  <si>
    <t>Museum Diponegoro</t>
  </si>
  <si>
    <t>STATISTIK</t>
  </si>
  <si>
    <t>NORMALISASI DATA – MIN-MAX NORMALIZATION</t>
  </si>
  <si>
    <t>Formula: x' = (x – x_min) / (x_max – x_min)   →  Mengubah semua nilai ke rentang [0, 1]</t>
  </si>
  <si>
    <t>Daya Tarik
(asli)</t>
  </si>
  <si>
    <t>Aksesibilitas
(asli)</t>
  </si>
  <si>
    <t>Fasilitas
(asli)</t>
  </si>
  <si>
    <t>Sarana
(asli)</t>
  </si>
  <si>
    <t>Ulasan
(asli)</t>
  </si>
  <si>
    <t>Daya Tarik
(norm)</t>
  </si>
  <si>
    <t>Aksesibilitas
(norm)</t>
  </si>
  <si>
    <t>Fasilitas
(norm)</t>
  </si>
  <si>
    <t>Sarana
(norm)</t>
  </si>
  <si>
    <t>Ulasan
(norm)</t>
  </si>
  <si>
    <t>x_min</t>
  </si>
  <si>
    <t>x_max</t>
  </si>
  <si>
    <t>INISIALISASI CENTROID AWAL (Sebelum Iterasi-1)</t>
  </si>
  <si>
    <t>Metode: Uniform Sampling — memilih setiap ke-5 data sebagai centroid awal (indeks 0, 5, 10)</t>
  </si>
  <si>
    <t>C1
(Candi Borobu…)</t>
  </si>
  <si>
    <t>C2
(Air Terjun K…)</t>
  </si>
  <si>
    <t>C3
(Taman Kyai L…)</t>
  </si>
  <si>
    <t>Rumus
Normalisasi</t>
  </si>
  <si>
    <t>Daya Tarik</t>
  </si>
  <si>
    <t>Aksesibilitas</t>
  </si>
  <si>
    <t>Fasilitas</t>
  </si>
  <si>
    <t>Sarana</t>
  </si>
  <si>
    <t>Ulasan</t>
  </si>
  <si>
    <t>Data sumber C1: baris 1 (Candi Borobudur)  |  C2: baris 6 (Air Terjun Kedung Kayang)  |  C3: baris 11 (Taman Kyai Langgeng)</t>
  </si>
  <si>
    <t>ITERASI 1 — Jarak Euclidean &amp; Penugasan Cluster</t>
  </si>
  <si>
    <t>d(x, C) = √ [ (x₁–c₁)² + (x₂–c₂)² + (x₃–c₃)² + (x₄–c₄)² + (x₅–c₅)² ]   ← Euclidean Distance</t>
  </si>
  <si>
    <t>↓  Nilai Centroid Iterasi 1</t>
  </si>
  <si>
    <t>Centroid</t>
  </si>
  <si>
    <t>C1 (Prioritas Tinggi)</t>
  </si>
  <si>
    <t>C2 (Prioritas Rendah)</t>
  </si>
  <si>
    <t>C3 (Prioritas Sedang)</t>
  </si>
  <si>
    <t>d(x,C1)</t>
  </si>
  <si>
    <t>d(x,C2)</t>
  </si>
  <si>
    <t>d(x,C3)</t>
  </si>
  <si>
    <t>Cluster
Terpilih</t>
  </si>
  <si>
    <t>Label</t>
  </si>
  <si>
    <t>Jarak Min</t>
  </si>
  <si>
    <t>— Perhitungan —</t>
  </si>
  <si>
    <t>√((1.0-1.0)² + (1.0-1.0)² + (1.0-1.0)² + (1.0-1.0)² + (1.0-1.0)²)</t>
  </si>
  <si>
    <t>√((0.6667-1.0)² + (0.75-1.0)² + (0.75-1.0)² + (0.6-1.0)² + (0.625-1.0)²)</t>
  </si>
  <si>
    <t>√((0.3333-1.0)² + (0.5-1.0)² + (0.5-1.0)² + (0.4-1.0)² + (0.25-1.0)²)</t>
  </si>
  <si>
    <t>√((1.0-1.0)² + (0.5-1.0)² + (1.0-1.0)² + (0.6-1.0)² + (0.75-1.0)²)</t>
  </si>
  <si>
    <t>√((1.0-1.0)² + (0.25-1.0)² + (0.75-1.0)² + (0.4-1.0)² + (0.875-1.0)²)</t>
  </si>
  <si>
    <t>√((0.6667-1.0)² + (0.0-1.0)² + (0.25-1.0)² + (0.2-1.0)² + (0.375-1.0)²)</t>
  </si>
  <si>
    <t>√((0.3333-1.0)² + (0.5-1.0)² + (0.5-1.0)² + (0.4-1.0)² + (0.5-1.0)²)</t>
  </si>
  <si>
    <t>√((0.0-1.0)² + (0.25-1.0)² + (0.25-1.0)² + (0.2-1.0)² + (0.125-1.0)²)</t>
  </si>
  <si>
    <t>√((0.3333-1.0)² + (1.0-1.0)² + (1.0-1.0)² + (0.8-1.0)² + (0.625-1.0)²)</t>
  </si>
  <si>
    <t>√((0.0-1.0)² + (0.5-1.0)² + (0.25-1.0)² + (0.2-1.0)² + (0.0-1.0)²)</t>
  </si>
  <si>
    <t>√((0.6667-1.0)² + (1.0-1.0)² + (1.0-1.0)² + (0.8-1.0)² + (0.5-1.0)²)</t>
  </si>
  <si>
    <t>√((0.3333-1.0)² + (0.25-1.0)² + (0.25-1.0)² + (0.2-1.0)² + (0.25-1.0)²)</t>
  </si>
  <si>
    <t>√((1.0-1.0)² + (0.0-1.0)² + (0.25-1.0)² + (0.0-1.0)² + (0.75-1.0)²)</t>
  </si>
  <si>
    <t>√((0.6667-1.0)² + (0.0-1.0)² + (0.0-1.0)² + (0.0-1.0)² + (0.625-1.0)²)</t>
  </si>
  <si>
    <t>√((0.0-1.0)² + (0.75-1.0)² + (0.75-1.0)² + (0.6-1.0)² + (0.125-1.0)²)</t>
  </si>
  <si>
    <t>ITERASI 2 ✔ KONVERGEN — Jarak Euclidean &amp; Penugasan Cluster</t>
  </si>
  <si>
    <t>↓  Nilai Centroid Iterasi 2</t>
  </si>
  <si>
    <t>✅  Iterasi ini identik dengan iterasi sebelumnya → Centroid tidak berubah → KONVERGEN</t>
  </si>
  <si>
    <t>CENTROID AKHIR SETELAH KONVERGEN (Iterasi ke-2)</t>
  </si>
  <si>
    <t>C1
Prioritas Tinggi</t>
  </si>
  <si>
    <t>C2
Prioritas Rendah</t>
  </si>
  <si>
    <t>C3
Prioritas Sedang</t>
  </si>
  <si>
    <t>Anggota
Cluster</t>
  </si>
  <si>
    <t>Perubahan dari
Iterasi Sebelumnya</t>
  </si>
  <si>
    <t>Jumlah Anggota C1</t>
  </si>
  <si>
    <t>Prioritas Tinggi</t>
  </si>
  <si>
    <t>Jumlah Anggota C2</t>
  </si>
  <si>
    <t>Prioritas Rendah</t>
  </si>
  <si>
    <t>Jumlah Anggota C3</t>
  </si>
  <si>
    <t>Prioritas Sedang</t>
  </si>
  <si>
    <t>HASIL AKHIR K-MEANS CLUSTERING — SELURUH DESTINASI WISATA</t>
  </si>
  <si>
    <t>Jenis</t>
  </si>
  <si>
    <t>Daya
Tarik</t>
  </si>
  <si>
    <t>Aksesi
bilitas</t>
  </si>
  <si>
    <t>Pengunjung
/Thn</t>
  </si>
  <si>
    <t>Rating</t>
  </si>
  <si>
    <t>Cluster</t>
  </si>
  <si>
    <t>Label Prioritas</t>
  </si>
  <si>
    <t>C1 · Prioritas Tinggi</t>
  </si>
  <si>
    <t>C2 · Prioritas Rendah</t>
  </si>
  <si>
    <t>Candi Pawon  |  Punthuk Setumbu  |  Air Terjun Kedung Kayang  |  Desa Wisata Candirejo  |  Desa Wisata Ngargogondo  |  Makam Kyai Raden Santri  |  Kebun Teh Ngluwar  |  Gunung Merbabu (basecamp)  |  Sunrise Puthuk Mongkrong</t>
  </si>
  <si>
    <t>C3 · Prioritas Sedang</t>
  </si>
  <si>
    <t>Candi Mendut  |  Ketep Pass  |  Masjid Agung Magelang  |  Taman Kyai Langgeng  |  Museum Diponegoro</t>
  </si>
  <si>
    <t>PERHITUNGAN SSE (Sum of Squared Error) PER CLUSTER</t>
  </si>
  <si>
    <t>SSE = Σ Σ ||xᵢ – cₖ||²  =  Σ [(x₁–c₁)² + (x₂–c₂)² + (x₃–c₃)² + (x₄–c₄)² + (x₅–c₅)²]</t>
  </si>
  <si>
    <t>(x–c)²
Daya Tarik</t>
  </si>
  <si>
    <t>(x–c)²
Aksesibilitas</t>
  </si>
  <si>
    <t>(x–c)²
Fasilitas</t>
  </si>
  <si>
    <t>(x–c)²
Sarana</t>
  </si>
  <si>
    <t>(x–c)²
Ulasan</t>
  </si>
  <si>
    <t>SSE
Per Baris</t>
  </si>
  <si>
    <t>SSE Cluster C1 (Prioritas Tinggi)</t>
  </si>
  <si>
    <t>SSE Cluster C2 (Prioritas Rendah)</t>
  </si>
  <si>
    <t>SSE Cluster C3 (Prioritas Sedang)</t>
  </si>
  <si>
    <t>TOTAL SSE (Semua Cluster)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</si>
</sst>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0"/>
  </numFmts>
  <fonts count="3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1F4E79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9"/>
      <color rgb="FF1F4E79"/>
      <name val="Arial"/>
      <charset val="1"/>
    </font>
    <font>
      <sz val="9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10"/>
      <color rgb="FF1F4E79"/>
      <name val="Arial"/>
      <charset val="1"/>
    </font>
    <font>
      <b/>
      <sz val="10"/>
      <color rgb="FF059669"/>
      <name val="Arial"/>
      <charset val="1"/>
    </font>
    <font>
      <b/>
      <sz val="10"/>
      <color rgb="FFD97706"/>
      <name val="Arial"/>
      <charset val="1"/>
    </font>
    <font>
      <sz val="10"/>
      <color rgb="FFD97706"/>
      <name val="Arial"/>
      <charset val="1"/>
    </font>
    <font>
      <b/>
      <sz val="10"/>
      <color rgb="FFBE185D"/>
      <name val="Arial"/>
      <charset val="1"/>
    </font>
    <font>
      <sz val="10"/>
      <color rgb="FFBE185D"/>
      <name val="Arial"/>
      <charset val="1"/>
    </font>
    <font>
      <b/>
      <sz val="10"/>
      <color rgb="FF065F46"/>
      <name val="Arial"/>
      <charset val="1"/>
    </font>
    <font>
      <b/>
      <sz val="10"/>
      <color rgb="FF78350F"/>
      <name val="Arial"/>
      <charset val="1"/>
    </font>
    <font>
      <b/>
      <sz val="10"/>
      <color rgb="FF4C1D95"/>
      <name val="Arial"/>
      <charset val="1"/>
    </font>
    <font>
      <sz val="10"/>
      <color rgb="FF92400E"/>
      <name val="Arial"/>
      <charset val="1"/>
    </font>
    <font>
      <i/>
      <sz val="9"/>
      <color rgb="FF64748B"/>
      <name val="Arial"/>
      <charset val="1"/>
    </font>
    <font>
      <b/>
      <sz val="10"/>
      <color rgb="FFFFFFFF"/>
      <name val="Arial"/>
      <charset val="1"/>
    </font>
    <font>
      <sz val="10"/>
      <color rgb="FF065F46"/>
      <name val="Arial"/>
      <charset val="1"/>
    </font>
    <font>
      <sz val="10"/>
      <color rgb="FF78350F"/>
      <name val="Arial"/>
      <charset val="1"/>
    </font>
    <font>
      <sz val="10"/>
      <color rgb="FF4C1D95"/>
      <name val="Arial"/>
      <charset val="1"/>
    </font>
    <font>
      <sz val="10"/>
      <color rgb="FF374151"/>
      <name val="Arial"/>
      <charset val="1"/>
    </font>
    <font>
      <b/>
      <sz val="10"/>
      <color rgb="FF6366F1"/>
      <name val="Arial"/>
      <charset val="1"/>
    </font>
    <font>
      <sz val="9"/>
      <color rgb="FF059669"/>
      <name val="Arial"/>
      <charset val="1"/>
    </font>
    <font>
      <sz val="9"/>
      <color rgb="FF6366F1"/>
      <name val="Arial"/>
      <charset val="1"/>
    </font>
    <font>
      <sz val="9"/>
      <color rgb="FFD97706"/>
      <name val="Arial"/>
      <charset val="1"/>
    </font>
    <font>
      <b/>
      <sz val="12"/>
      <color rgb="FF059669"/>
      <name val="Arial"/>
      <charset val="1"/>
    </font>
    <font>
      <b/>
      <sz val="12"/>
      <color rgb="FF6366F1"/>
      <name val="Arial"/>
      <charset val="1"/>
    </font>
    <font>
      <b/>
      <sz val="12"/>
      <color rgb="FFD97706"/>
      <name val="Arial"/>
      <charset val="1"/>
    </font>
    <font>
      <b/>
      <sz val="12"/>
      <color rgb="FFFFFFFF"/>
      <name val="Arial"/>
      <charset val="1"/>
    </font>
    <font>
      <b/>
      <sz val="14"/>
      <color rgb="FFFFFFFF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334155"/>
      </patternFill>
    </fill>
    <fill>
      <patternFill patternType="solid">
        <fgColor rgb="FF2E75B6"/>
        <bgColor rgb="FF64748B"/>
      </patternFill>
    </fill>
    <fill>
      <patternFill patternType="solid">
        <fgColor rgb="FFDEEAF1"/>
        <bgColor rgb="FFEDE9FE"/>
      </patternFill>
    </fill>
    <fill>
      <patternFill patternType="solid">
        <fgColor rgb="FFF9FBFD"/>
        <bgColor rgb="FFF8FAFC"/>
      </patternFill>
    </fill>
    <fill>
      <patternFill patternType="solid">
        <fgColor rgb="FFF2F7FB"/>
        <bgColor rgb="FFF1F5F9"/>
      </patternFill>
    </fill>
    <fill>
      <patternFill patternType="solid">
        <fgColor rgb="FFFFFFFF"/>
        <bgColor rgb="FFF9FBFD"/>
      </patternFill>
    </fill>
    <fill>
      <patternFill patternType="solid">
        <fgColor rgb="FFF0FDF4"/>
        <bgColor rgb="FFECFDF5"/>
      </patternFill>
    </fill>
    <fill>
      <patternFill patternType="solid">
        <fgColor rgb="FFECFDF5"/>
        <bgColor rgb="FFF0FDF4"/>
      </patternFill>
    </fill>
    <fill>
      <patternFill patternType="solid">
        <fgColor rgb="FFFEF3C7"/>
        <bgColor rgb="FFFEFCE8"/>
      </patternFill>
    </fill>
    <fill>
      <patternFill patternType="solid">
        <fgColor rgb="FFFCE7F3"/>
        <bgColor rgb="FFEDE9FE"/>
      </patternFill>
    </fill>
    <fill>
      <patternFill patternType="solid">
        <fgColor rgb="FF059669"/>
        <bgColor rgb="FF339966"/>
      </patternFill>
    </fill>
    <fill>
      <patternFill patternType="solid">
        <fgColor rgb="FFD97706"/>
        <bgColor rgb="FFFF9900"/>
      </patternFill>
    </fill>
    <fill>
      <patternFill patternType="solid">
        <fgColor rgb="FF6366F1"/>
        <bgColor rgb="FF64748B"/>
      </patternFill>
    </fill>
    <fill>
      <patternFill patternType="solid">
        <fgColor rgb="FFD1FAE5"/>
        <bgColor rgb="FFDEEAF1"/>
      </patternFill>
    </fill>
    <fill>
      <patternFill patternType="solid">
        <fgColor rgb="FFEDE9FE"/>
        <bgColor rgb="FFFCE7F3"/>
      </patternFill>
    </fill>
    <fill>
      <patternFill patternType="solid">
        <fgColor rgb="FFFFFBEB"/>
        <bgColor rgb="FFFEFCE8"/>
      </patternFill>
    </fill>
    <fill>
      <patternFill patternType="solid">
        <fgColor rgb="FFF8FAFC"/>
        <bgColor rgb="FFF9FAFB"/>
      </patternFill>
    </fill>
    <fill>
      <patternFill patternType="solid">
        <fgColor rgb="FF334155"/>
        <bgColor rgb="FF374151"/>
      </patternFill>
    </fill>
    <fill>
      <patternFill patternType="solid">
        <fgColor rgb="FFF1F5F9"/>
        <bgColor rgb="FFF2F7FB"/>
      </patternFill>
    </fill>
    <fill>
      <patternFill patternType="solid">
        <fgColor rgb="FFF9FAFB"/>
        <bgColor rgb="FFF8FAFC"/>
      </patternFill>
    </fill>
    <fill>
      <patternFill patternType="solid">
        <fgColor rgb="FFFEFCE8"/>
        <bgColor rgb="FFFFFBEB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12" borderId="0" xfId="0" applyFont="1" applyFill="1" applyBorder="1" applyAlignment="1">
      <alignment horizontal="center" vertical="center"/>
    </xf>
    <xf numFmtId="0" fontId="21" fillId="19" borderId="0" xfId="0" applyFont="1" applyFill="1" applyBorder="1" applyAlignment="1">
      <alignment horizontal="left" vertical="center" indent="1"/>
    </xf>
    <xf numFmtId="0" fontId="20" fillId="18" borderId="0" xfId="0" applyFont="1" applyFill="1" applyBorder="1" applyAlignment="1">
      <alignment horizontal="left" vertical="center" indent="1"/>
    </xf>
    <xf numFmtId="0" fontId="10" fillId="4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5" fillId="3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3" fontId="8" fillId="6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3" fontId="8" fillId="7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164" fontId="11" fillId="8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164" fontId="11" fillId="9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164" fontId="13" fillId="10" borderId="2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164" fontId="15" fillId="11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164" fontId="16" fillId="15" borderId="2" xfId="0" applyNumberFormat="1" applyFont="1" applyFill="1" applyBorder="1" applyAlignment="1">
      <alignment horizontal="center" vertical="center"/>
    </xf>
    <xf numFmtId="164" fontId="17" fillId="10" borderId="2" xfId="0" applyNumberFormat="1" applyFont="1" applyFill="1" applyBorder="1" applyAlignment="1">
      <alignment horizontal="center" vertical="center"/>
    </xf>
    <xf numFmtId="164" fontId="18" fillId="16" borderId="2" xfId="0" applyNumberFormat="1" applyFont="1" applyFill="1" applyBorder="1" applyAlignment="1">
      <alignment horizontal="center" vertical="center"/>
    </xf>
    <xf numFmtId="0" fontId="19" fillId="17" borderId="2" xfId="0" applyFont="1" applyFill="1" applyBorder="1" applyAlignment="1">
      <alignment horizontal="left" vertical="center"/>
    </xf>
    <xf numFmtId="0" fontId="9" fillId="20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164" fontId="22" fillId="15" borderId="2" xfId="0" applyNumberFormat="1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164" fontId="23" fillId="10" borderId="2" xfId="0" applyNumberFormat="1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164" fontId="24" fillId="16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left" vertical="center"/>
    </xf>
    <xf numFmtId="164" fontId="25" fillId="21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9" fillId="22" borderId="2" xfId="0" applyFont="1" applyFill="1" applyBorder="1" applyAlignment="1">
      <alignment horizontal="left" vertical="center"/>
    </xf>
    <xf numFmtId="164" fontId="25" fillId="7" borderId="2" xfId="0" applyNumberFormat="1" applyFont="1" applyFill="1" applyBorder="1" applyAlignment="1">
      <alignment horizontal="center" vertical="center"/>
    </xf>
    <xf numFmtId="0" fontId="26" fillId="16" borderId="2" xfId="0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left" vertical="center"/>
    </xf>
    <xf numFmtId="3" fontId="8" fillId="21" borderId="2" xfId="0" applyNumberFormat="1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165" fontId="8" fillId="15" borderId="2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/>
    </xf>
    <xf numFmtId="165" fontId="8" fillId="10" borderId="2" xfId="0" applyNumberFormat="1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left" vertical="center"/>
    </xf>
    <xf numFmtId="165" fontId="8" fillId="16" borderId="2" xfId="0" applyNumberFormat="1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 indent="1"/>
    </xf>
    <xf numFmtId="0" fontId="27" fillId="15" borderId="1" xfId="0" applyFont="1" applyFill="1" applyBorder="1" applyAlignment="1">
      <alignment horizontal="left" vertical="center" wrapText="1" indent="1"/>
    </xf>
    <xf numFmtId="0" fontId="21" fillId="14" borderId="1" xfId="0" applyFont="1" applyFill="1" applyBorder="1" applyAlignment="1">
      <alignment horizontal="left" vertical="center" indent="1"/>
    </xf>
    <xf numFmtId="0" fontId="28" fillId="16" borderId="1" xfId="0" applyFont="1" applyFill="1" applyBorder="1" applyAlignment="1">
      <alignment horizontal="left" vertical="center" wrapText="1" indent="1"/>
    </xf>
    <xf numFmtId="0" fontId="21" fillId="13" borderId="1" xfId="0" applyFont="1" applyFill="1" applyBorder="1" applyAlignment="1">
      <alignment horizontal="left" vertical="center" indent="1"/>
    </xf>
    <xf numFmtId="0" fontId="29" fillId="10" borderId="1" xfId="0" applyFont="1" applyFill="1" applyBorder="1" applyAlignment="1">
      <alignment horizontal="left" vertical="center" wrapText="1" indent="1"/>
    </xf>
    <xf numFmtId="165" fontId="30" fillId="15" borderId="1" xfId="0" applyNumberFormat="1" applyFont="1" applyFill="1" applyBorder="1" applyAlignment="1">
      <alignment horizontal="center" vertical="center"/>
    </xf>
    <xf numFmtId="165" fontId="31" fillId="16" borderId="1" xfId="0" applyNumberFormat="1" applyFont="1" applyFill="1" applyBorder="1" applyAlignment="1">
      <alignment horizontal="center" vertical="center"/>
    </xf>
    <xf numFmtId="165" fontId="32" fillId="10" borderId="1" xfId="0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left" vertical="center" indent="1"/>
    </xf>
    <xf numFmtId="164" fontId="34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BEB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BFBFBF"/>
      <rgbColor rgb="FF808080"/>
      <rgbColor rgb="FFF9FBFD"/>
      <rgbColor rgb="FFBE185D"/>
      <rgbColor rgb="FFFEF3C7"/>
      <rgbColor rgb="FFECFDF5"/>
      <rgbColor rgb="FF660066"/>
      <rgbColor rgb="FFFF8080"/>
      <rgbColor rgb="FF2E75B6"/>
      <rgbColor rgb="FFEDE9FE"/>
      <rgbColor rgb="FF000080"/>
      <rgbColor rgb="FFFF00FF"/>
      <rgbColor rgb="FFF0FDF4"/>
      <rgbColor rgb="FF00FFFF"/>
      <rgbColor rgb="FF800080"/>
      <rgbColor rgb="FF800000"/>
      <rgbColor rgb="FF065F46"/>
      <rgbColor rgb="FF0000FF"/>
      <rgbColor rgb="FF00CCFF"/>
      <rgbColor rgb="FFDEEAF1"/>
      <rgbColor rgb="FFD1FAE5"/>
      <rgbColor rgb="FFFEFCE8"/>
      <rgbColor rgb="FFF1F5F9"/>
      <rgbColor rgb="FFF2F7FB"/>
      <rgbColor rgb="FFF8FAFC"/>
      <rgbColor rgb="FFFCE7F3"/>
      <rgbColor rgb="FF6366F1"/>
      <rgbColor rgb="FF33CCCC"/>
      <rgbColor rgb="FF99CC00"/>
      <rgbColor rgb="FFF9FAFB"/>
      <rgbColor rgb="FFFF9900"/>
      <rgbColor rgb="FFD97706"/>
      <rgbColor rgb="FF64748B"/>
      <rgbColor rgb="FF969696"/>
      <rgbColor rgb="FF1F4E79"/>
      <rgbColor rgb="FF339966"/>
      <rgbColor rgb="FF003300"/>
      <rgbColor rgb="FF334155"/>
      <rgbColor rgb="FF92400E"/>
      <rgbColor rgb="FF78350F"/>
      <rgbColor rgb="FF4C1D95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showGridLines="0" topLeftCell="A22" zoomScaleNormal="100" workbookViewId="0"/>
  </sheetViews>
  <sheetFormatPr defaultColWidth="8.7109375" defaultRowHeight="15" x14ac:dyDescent="0.25"/>
  <cols>
    <col min="1" max="10" width="18" style="15" customWidth="1"/>
  </cols>
  <sheetData>
    <row r="1" spans="2:9" ht="19.5" customHeight="1" x14ac:dyDescent="0.25"/>
    <row r="2" spans="2:9" ht="19.5" customHeight="1" x14ac:dyDescent="0.25"/>
    <row r="3" spans="2:9" ht="39.75" customHeight="1" x14ac:dyDescent="0.25">
      <c r="B3" s="14" t="s">
        <v>0</v>
      </c>
      <c r="C3" s="14"/>
      <c r="D3" s="14"/>
      <c r="E3" s="14"/>
      <c r="F3" s="14"/>
      <c r="G3" s="14"/>
      <c r="H3" s="14"/>
      <c r="I3" s="14"/>
    </row>
    <row r="4" spans="2:9" ht="27.75" customHeight="1" x14ac:dyDescent="0.25">
      <c r="B4" s="13" t="s">
        <v>1</v>
      </c>
      <c r="C4" s="13"/>
      <c r="D4" s="13"/>
      <c r="E4" s="13"/>
      <c r="F4" s="13"/>
      <c r="G4" s="13"/>
      <c r="H4" s="13"/>
      <c r="I4" s="13"/>
    </row>
    <row r="5" spans="2:9" ht="19.5" customHeight="1" x14ac:dyDescent="0.25"/>
    <row r="6" spans="2:9" ht="21.75" customHeight="1" x14ac:dyDescent="0.25">
      <c r="B6" s="12" t="s">
        <v>2</v>
      </c>
      <c r="C6" s="12"/>
      <c r="D6" s="12"/>
      <c r="E6" s="11" t="s">
        <v>3</v>
      </c>
      <c r="F6" s="11"/>
      <c r="G6" s="11"/>
      <c r="H6" s="11"/>
      <c r="I6" s="11"/>
    </row>
    <row r="7" spans="2:9" ht="21.75" customHeight="1" x14ac:dyDescent="0.25">
      <c r="B7" s="12" t="s">
        <v>4</v>
      </c>
      <c r="C7" s="12"/>
      <c r="D7" s="12"/>
      <c r="E7" s="11" t="s">
        <v>5</v>
      </c>
      <c r="F7" s="11"/>
      <c r="G7" s="11"/>
      <c r="H7" s="11"/>
      <c r="I7" s="11"/>
    </row>
    <row r="8" spans="2:9" ht="21.75" customHeight="1" x14ac:dyDescent="0.25">
      <c r="B8" s="12" t="s">
        <v>6</v>
      </c>
      <c r="C8" s="12"/>
      <c r="D8" s="12"/>
      <c r="E8" s="11" t="s">
        <v>7</v>
      </c>
      <c r="F8" s="11"/>
      <c r="G8" s="11"/>
      <c r="H8" s="11"/>
      <c r="I8" s="11"/>
    </row>
    <row r="9" spans="2:9" ht="21.75" customHeight="1" x14ac:dyDescent="0.25">
      <c r="B9" s="12" t="s">
        <v>8</v>
      </c>
      <c r="C9" s="12"/>
      <c r="D9" s="12"/>
      <c r="E9" s="11" t="s">
        <v>9</v>
      </c>
      <c r="F9" s="11"/>
      <c r="G9" s="11"/>
      <c r="H9" s="11"/>
      <c r="I9" s="11"/>
    </row>
    <row r="10" spans="2:9" ht="21.75" customHeight="1" x14ac:dyDescent="0.25">
      <c r="B10" s="12" t="s">
        <v>10</v>
      </c>
      <c r="C10" s="12"/>
      <c r="D10" s="12"/>
      <c r="E10" s="11" t="s">
        <v>11</v>
      </c>
      <c r="F10" s="11"/>
      <c r="G10" s="11"/>
      <c r="H10" s="11"/>
      <c r="I10" s="11"/>
    </row>
    <row r="11" spans="2:9" ht="21.75" customHeight="1" x14ac:dyDescent="0.25">
      <c r="B11" s="12" t="s">
        <v>12</v>
      </c>
      <c r="C11" s="12"/>
      <c r="D11" s="12"/>
      <c r="E11" s="11" t="s">
        <v>13</v>
      </c>
      <c r="F11" s="11"/>
      <c r="G11" s="11"/>
      <c r="H11" s="11"/>
      <c r="I11" s="11"/>
    </row>
    <row r="12" spans="2:9" ht="21.75" customHeight="1" x14ac:dyDescent="0.25">
      <c r="B12" s="12" t="s">
        <v>14</v>
      </c>
      <c r="C12" s="12"/>
      <c r="D12" s="12"/>
      <c r="E12" s="11" t="s">
        <v>15</v>
      </c>
      <c r="F12" s="11"/>
      <c r="G12" s="11"/>
      <c r="H12" s="11"/>
      <c r="I12" s="11"/>
    </row>
    <row r="13" spans="2:9" ht="21.75" customHeight="1" x14ac:dyDescent="0.25">
      <c r="B13" s="12" t="s">
        <v>16</v>
      </c>
      <c r="C13" s="12"/>
      <c r="D13" s="12"/>
      <c r="E13" s="11" t="s">
        <v>17</v>
      </c>
      <c r="F13" s="11"/>
      <c r="G13" s="11"/>
      <c r="H13" s="11"/>
      <c r="I13" s="11"/>
    </row>
    <row r="14" spans="2:9" ht="19.5" customHeight="1" x14ac:dyDescent="0.25"/>
    <row r="15" spans="2:9" ht="19.5" customHeight="1" x14ac:dyDescent="0.25"/>
    <row r="16" spans="2:9" ht="21.75" customHeight="1" x14ac:dyDescent="0.25">
      <c r="B16" s="10" t="s">
        <v>18</v>
      </c>
      <c r="C16" s="10"/>
      <c r="D16" s="10"/>
      <c r="E16" s="10"/>
      <c r="F16" s="10"/>
      <c r="G16" s="10"/>
      <c r="H16" s="10"/>
      <c r="I16" s="10"/>
    </row>
    <row r="17" spans="2:9" ht="19.5" customHeight="1" x14ac:dyDescent="0.25">
      <c r="B17" s="9" t="s">
        <v>19</v>
      </c>
      <c r="C17" s="9"/>
      <c r="D17" s="9"/>
      <c r="E17" s="8" t="s">
        <v>20</v>
      </c>
      <c r="F17" s="8"/>
      <c r="G17" s="8"/>
      <c r="H17" s="8"/>
      <c r="I17" s="8"/>
    </row>
    <row r="18" spans="2:9" ht="19.5" customHeight="1" x14ac:dyDescent="0.25">
      <c r="B18" s="7" t="s">
        <v>21</v>
      </c>
      <c r="C18" s="7"/>
      <c r="D18" s="7"/>
      <c r="E18" s="6" t="s">
        <v>22</v>
      </c>
      <c r="F18" s="6"/>
      <c r="G18" s="6"/>
      <c r="H18" s="6"/>
      <c r="I18" s="6"/>
    </row>
    <row r="19" spans="2:9" ht="19.5" customHeight="1" x14ac:dyDescent="0.25">
      <c r="B19" s="9" t="s">
        <v>23</v>
      </c>
      <c r="C19" s="9"/>
      <c r="D19" s="9"/>
      <c r="E19" s="8" t="s">
        <v>24</v>
      </c>
      <c r="F19" s="8"/>
      <c r="G19" s="8"/>
      <c r="H19" s="8"/>
      <c r="I19" s="8"/>
    </row>
    <row r="20" spans="2:9" ht="19.5" customHeight="1" x14ac:dyDescent="0.25">
      <c r="B20" s="7" t="s">
        <v>25</v>
      </c>
      <c r="C20" s="7"/>
      <c r="D20" s="7"/>
      <c r="E20" s="6" t="s">
        <v>26</v>
      </c>
      <c r="F20" s="6"/>
      <c r="G20" s="6"/>
      <c r="H20" s="6"/>
      <c r="I20" s="6"/>
    </row>
    <row r="21" spans="2:9" ht="19.5" customHeight="1" x14ac:dyDescent="0.25">
      <c r="B21" s="9" t="s">
        <v>27</v>
      </c>
      <c r="C21" s="9"/>
      <c r="D21" s="9"/>
      <c r="E21" s="8" t="s">
        <v>28</v>
      </c>
      <c r="F21" s="8"/>
      <c r="G21" s="8"/>
      <c r="H21" s="8"/>
      <c r="I21" s="8"/>
    </row>
    <row r="22" spans="2:9" ht="19.5" customHeight="1" x14ac:dyDescent="0.25">
      <c r="B22" s="7" t="s">
        <v>29</v>
      </c>
      <c r="C22" s="7"/>
      <c r="D22" s="7"/>
      <c r="E22" s="6" t="s">
        <v>30</v>
      </c>
      <c r="F22" s="6"/>
      <c r="G22" s="6"/>
      <c r="H22" s="6"/>
      <c r="I22" s="6"/>
    </row>
    <row r="23" spans="2:9" ht="19.5" customHeight="1" x14ac:dyDescent="0.25">
      <c r="B23" s="9" t="s">
        <v>31</v>
      </c>
      <c r="C23" s="9"/>
      <c r="D23" s="9"/>
      <c r="E23" s="8" t="s">
        <v>32</v>
      </c>
      <c r="F23" s="8"/>
      <c r="G23" s="8"/>
      <c r="H23" s="8"/>
      <c r="I23" s="8"/>
    </row>
    <row r="24" spans="2:9" ht="19.5" customHeight="1" x14ac:dyDescent="0.25">
      <c r="B24" s="7" t="s">
        <v>33</v>
      </c>
      <c r="C24" s="7"/>
      <c r="D24" s="7"/>
      <c r="E24" s="6" t="s">
        <v>34</v>
      </c>
      <c r="F24" s="6"/>
      <c r="G24" s="6"/>
      <c r="H24" s="6"/>
      <c r="I24" s="6"/>
    </row>
    <row r="25" spans="2:9" ht="19.5" customHeight="1" x14ac:dyDescent="0.25"/>
    <row r="26" spans="2:9" ht="19.5" customHeight="1" x14ac:dyDescent="0.25"/>
    <row r="27" spans="2:9" ht="19.5" customHeight="1" x14ac:dyDescent="0.25"/>
    <row r="28" spans="2:9" ht="19.5" customHeight="1" x14ac:dyDescent="0.25"/>
    <row r="29" spans="2:9" ht="19.5" customHeight="1" x14ac:dyDescent="0.25"/>
    <row r="30" spans="2:9" ht="19.5" customHeight="1" x14ac:dyDescent="0.25"/>
    <row r="31" spans="2:9" ht="19.5" customHeight="1" x14ac:dyDescent="0.25"/>
    <row r="32" spans="2:9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</sheetData>
  <mergeCells count="35">
    <mergeCell ref="B22:D22"/>
    <mergeCell ref="E22:I22"/>
    <mergeCell ref="B23:D23"/>
    <mergeCell ref="E23:I23"/>
    <mergeCell ref="B24:D24"/>
    <mergeCell ref="E24:I24"/>
    <mergeCell ref="B19:D19"/>
    <mergeCell ref="E19:I19"/>
    <mergeCell ref="B20:D20"/>
    <mergeCell ref="E20:I20"/>
    <mergeCell ref="B21:D21"/>
    <mergeCell ref="E21:I21"/>
    <mergeCell ref="B16:I16"/>
    <mergeCell ref="B17:D17"/>
    <mergeCell ref="E17:I17"/>
    <mergeCell ref="B18:D18"/>
    <mergeCell ref="E18:I18"/>
    <mergeCell ref="B11:D11"/>
    <mergeCell ref="E11:I11"/>
    <mergeCell ref="B12:D12"/>
    <mergeCell ref="E12:I12"/>
    <mergeCell ref="B13:D13"/>
    <mergeCell ref="E13:I13"/>
    <mergeCell ref="B8:D8"/>
    <mergeCell ref="E8:I8"/>
    <mergeCell ref="B9:D9"/>
    <mergeCell ref="E9:I9"/>
    <mergeCell ref="B10:D10"/>
    <mergeCell ref="E10:I10"/>
    <mergeCell ref="B3:I3"/>
    <mergeCell ref="B4:I4"/>
    <mergeCell ref="B6:D6"/>
    <mergeCell ref="E6:I6"/>
    <mergeCell ref="B7:D7"/>
    <mergeCell ref="E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zoomScaleNormal="100" workbookViewId="0"/>
  </sheetViews>
  <sheetFormatPr defaultColWidth="8.7109375" defaultRowHeight="15" x14ac:dyDescent="0.25"/>
  <cols>
    <col min="1" max="1" width="5" style="15" customWidth="1"/>
    <col min="2" max="2" width="30" style="15" customWidth="1"/>
    <col min="3" max="3" width="16" style="15" customWidth="1"/>
    <col min="4" max="4" width="13" style="15" customWidth="1"/>
    <col min="5" max="5" width="14" style="15" customWidth="1"/>
    <col min="6" max="7" width="12" style="15" customWidth="1"/>
    <col min="8" max="8" width="10" style="15" customWidth="1"/>
    <col min="9" max="9" width="16" style="15" customWidth="1"/>
    <col min="10" max="10" width="10" style="15" customWidth="1"/>
  </cols>
  <sheetData>
    <row r="1" spans="1:10" ht="31.5" customHeight="1" x14ac:dyDescent="0.25">
      <c r="A1" s="5" t="s">
        <v>35</v>
      </c>
      <c r="B1" s="5"/>
      <c r="C1" s="5"/>
      <c r="D1" s="5"/>
      <c r="E1" s="5"/>
      <c r="F1" s="5"/>
      <c r="G1" s="5"/>
      <c r="H1" s="5"/>
      <c r="I1" s="5"/>
      <c r="J1" s="5"/>
    </row>
    <row r="2" spans="1:10" ht="36" customHeight="1" x14ac:dyDescent="0.25">
      <c r="A2" s="16" t="s">
        <v>36</v>
      </c>
      <c r="B2" s="16" t="s">
        <v>37</v>
      </c>
      <c r="C2" s="16" t="s">
        <v>38</v>
      </c>
      <c r="D2" s="16" t="s">
        <v>39</v>
      </c>
      <c r="E2" s="16" t="s">
        <v>40</v>
      </c>
      <c r="F2" s="16" t="s">
        <v>41</v>
      </c>
      <c r="G2" s="16" t="s">
        <v>42</v>
      </c>
      <c r="H2" s="16" t="s">
        <v>43</v>
      </c>
      <c r="I2" s="16" t="s">
        <v>44</v>
      </c>
      <c r="J2" s="16" t="s">
        <v>45</v>
      </c>
    </row>
    <row r="3" spans="1:10" ht="19.5" customHeight="1" x14ac:dyDescent="0.25">
      <c r="A3" s="17">
        <f>1</f>
        <v>1</v>
      </c>
      <c r="B3" s="18" t="s">
        <v>46</v>
      </c>
      <c r="C3" s="17" t="s">
        <v>47</v>
      </c>
      <c r="D3" s="17">
        <v>9</v>
      </c>
      <c r="E3" s="17">
        <v>9</v>
      </c>
      <c r="F3" s="17">
        <v>8</v>
      </c>
      <c r="G3" s="17">
        <v>9</v>
      </c>
      <c r="H3" s="17">
        <v>4.8</v>
      </c>
      <c r="I3" s="19">
        <v>850000</v>
      </c>
      <c r="J3" s="17">
        <v>4.8</v>
      </c>
    </row>
    <row r="4" spans="1:10" ht="19.5" customHeight="1" x14ac:dyDescent="0.25">
      <c r="A4" s="20">
        <f>2</f>
        <v>2</v>
      </c>
      <c r="B4" s="21" t="s">
        <v>48</v>
      </c>
      <c r="C4" s="20" t="s">
        <v>47</v>
      </c>
      <c r="D4" s="20">
        <v>8</v>
      </c>
      <c r="E4" s="20">
        <v>8</v>
      </c>
      <c r="F4" s="20">
        <v>7</v>
      </c>
      <c r="G4" s="20">
        <v>7</v>
      </c>
      <c r="H4" s="20">
        <v>4.5</v>
      </c>
      <c r="I4" s="22">
        <v>180000</v>
      </c>
      <c r="J4" s="20">
        <v>4.5</v>
      </c>
    </row>
    <row r="5" spans="1:10" ht="19.5" customHeight="1" x14ac:dyDescent="0.25">
      <c r="A5" s="17">
        <f>3</f>
        <v>3</v>
      </c>
      <c r="B5" s="18" t="s">
        <v>49</v>
      </c>
      <c r="C5" s="17" t="s">
        <v>47</v>
      </c>
      <c r="D5" s="17">
        <v>7</v>
      </c>
      <c r="E5" s="17">
        <v>7</v>
      </c>
      <c r="F5" s="17">
        <v>6</v>
      </c>
      <c r="G5" s="17">
        <v>6</v>
      </c>
      <c r="H5" s="17">
        <v>4.2</v>
      </c>
      <c r="I5" s="19">
        <v>95000</v>
      </c>
      <c r="J5" s="17">
        <v>4.2</v>
      </c>
    </row>
    <row r="6" spans="1:10" ht="19.5" customHeight="1" x14ac:dyDescent="0.25">
      <c r="A6" s="20">
        <f>4</f>
        <v>4</v>
      </c>
      <c r="B6" s="21" t="s">
        <v>50</v>
      </c>
      <c r="C6" s="20" t="s">
        <v>51</v>
      </c>
      <c r="D6" s="20">
        <v>9</v>
      </c>
      <c r="E6" s="20">
        <v>7</v>
      </c>
      <c r="F6" s="20">
        <v>8</v>
      </c>
      <c r="G6" s="20">
        <v>7</v>
      </c>
      <c r="H6" s="20">
        <v>4.5999999999999996</v>
      </c>
      <c r="I6" s="22">
        <v>320000</v>
      </c>
      <c r="J6" s="20">
        <v>4.5999999999999996</v>
      </c>
    </row>
    <row r="7" spans="1:10" ht="19.5" customHeight="1" x14ac:dyDescent="0.25">
      <c r="A7" s="17">
        <f>5</f>
        <v>5</v>
      </c>
      <c r="B7" s="18" t="s">
        <v>52</v>
      </c>
      <c r="C7" s="17" t="s">
        <v>51</v>
      </c>
      <c r="D7" s="17">
        <v>9</v>
      </c>
      <c r="E7" s="17">
        <v>6</v>
      </c>
      <c r="F7" s="17">
        <v>7</v>
      </c>
      <c r="G7" s="17">
        <v>6</v>
      </c>
      <c r="H7" s="17">
        <v>4.7</v>
      </c>
      <c r="I7" s="19">
        <v>210000</v>
      </c>
      <c r="J7" s="17">
        <v>4.7</v>
      </c>
    </row>
    <row r="8" spans="1:10" ht="19.5" customHeight="1" x14ac:dyDescent="0.25">
      <c r="A8" s="20">
        <f>6</f>
        <v>6</v>
      </c>
      <c r="B8" s="21" t="s">
        <v>53</v>
      </c>
      <c r="C8" s="20" t="s">
        <v>51</v>
      </c>
      <c r="D8" s="20">
        <v>8</v>
      </c>
      <c r="E8" s="20">
        <v>5</v>
      </c>
      <c r="F8" s="20">
        <v>5</v>
      </c>
      <c r="G8" s="20">
        <v>5</v>
      </c>
      <c r="H8" s="20">
        <v>4.3</v>
      </c>
      <c r="I8" s="22">
        <v>75000</v>
      </c>
      <c r="J8" s="20">
        <v>4.3</v>
      </c>
    </row>
    <row r="9" spans="1:10" ht="19.5" customHeight="1" x14ac:dyDescent="0.25">
      <c r="A9" s="17">
        <f>7</f>
        <v>7</v>
      </c>
      <c r="B9" s="18" t="s">
        <v>54</v>
      </c>
      <c r="C9" s="17" t="s">
        <v>55</v>
      </c>
      <c r="D9" s="17">
        <v>7</v>
      </c>
      <c r="E9" s="17">
        <v>7</v>
      </c>
      <c r="F9" s="17">
        <v>6</v>
      </c>
      <c r="G9" s="17">
        <v>6</v>
      </c>
      <c r="H9" s="17">
        <v>4.4000000000000004</v>
      </c>
      <c r="I9" s="19">
        <v>45000</v>
      </c>
      <c r="J9" s="17">
        <v>4.4000000000000004</v>
      </c>
    </row>
    <row r="10" spans="1:10" ht="19.5" customHeight="1" x14ac:dyDescent="0.25">
      <c r="A10" s="20">
        <f>8</f>
        <v>8</v>
      </c>
      <c r="B10" s="21" t="s">
        <v>56</v>
      </c>
      <c r="C10" s="20" t="s">
        <v>55</v>
      </c>
      <c r="D10" s="20">
        <v>6</v>
      </c>
      <c r="E10" s="20">
        <v>6</v>
      </c>
      <c r="F10" s="20">
        <v>5</v>
      </c>
      <c r="G10" s="20">
        <v>5</v>
      </c>
      <c r="H10" s="20">
        <v>4.0999999999999996</v>
      </c>
      <c r="I10" s="22">
        <v>32000</v>
      </c>
      <c r="J10" s="20">
        <v>4.0999999999999996</v>
      </c>
    </row>
    <row r="11" spans="1:10" ht="19.5" customHeight="1" x14ac:dyDescent="0.25">
      <c r="A11" s="17">
        <f>9</f>
        <v>9</v>
      </c>
      <c r="B11" s="18" t="s">
        <v>57</v>
      </c>
      <c r="C11" s="17" t="s">
        <v>58</v>
      </c>
      <c r="D11" s="17">
        <v>7</v>
      </c>
      <c r="E11" s="17">
        <v>9</v>
      </c>
      <c r="F11" s="17">
        <v>8</v>
      </c>
      <c r="G11" s="17">
        <v>8</v>
      </c>
      <c r="H11" s="17">
        <v>4.5</v>
      </c>
      <c r="I11" s="19">
        <v>280000</v>
      </c>
      <c r="J11" s="17">
        <v>4.5</v>
      </c>
    </row>
    <row r="12" spans="1:10" ht="19.5" customHeight="1" x14ac:dyDescent="0.25">
      <c r="A12" s="20">
        <f>10</f>
        <v>10</v>
      </c>
      <c r="B12" s="21" t="s">
        <v>59</v>
      </c>
      <c r="C12" s="20" t="s">
        <v>58</v>
      </c>
      <c r="D12" s="20">
        <v>6</v>
      </c>
      <c r="E12" s="20">
        <v>7</v>
      </c>
      <c r="F12" s="20">
        <v>5</v>
      </c>
      <c r="G12" s="20">
        <v>5</v>
      </c>
      <c r="H12" s="20">
        <v>4</v>
      </c>
      <c r="I12" s="22">
        <v>120000</v>
      </c>
      <c r="J12" s="20">
        <v>4</v>
      </c>
    </row>
    <row r="13" spans="1:10" ht="19.5" customHeight="1" x14ac:dyDescent="0.25">
      <c r="A13" s="17">
        <f>11</f>
        <v>11</v>
      </c>
      <c r="B13" s="18" t="s">
        <v>60</v>
      </c>
      <c r="C13" s="17" t="s">
        <v>61</v>
      </c>
      <c r="D13" s="17">
        <v>8</v>
      </c>
      <c r="E13" s="17">
        <v>9</v>
      </c>
      <c r="F13" s="17">
        <v>8</v>
      </c>
      <c r="G13" s="17">
        <v>8</v>
      </c>
      <c r="H13" s="17">
        <v>4.4000000000000004</v>
      </c>
      <c r="I13" s="19">
        <v>350000</v>
      </c>
      <c r="J13" s="17">
        <v>4.4000000000000004</v>
      </c>
    </row>
    <row r="14" spans="1:10" ht="19.5" customHeight="1" x14ac:dyDescent="0.25">
      <c r="A14" s="20">
        <f>12</f>
        <v>12</v>
      </c>
      <c r="B14" s="21" t="s">
        <v>62</v>
      </c>
      <c r="C14" s="20" t="s">
        <v>51</v>
      </c>
      <c r="D14" s="20">
        <v>7</v>
      </c>
      <c r="E14" s="20">
        <v>6</v>
      </c>
      <c r="F14" s="20">
        <v>5</v>
      </c>
      <c r="G14" s="20">
        <v>5</v>
      </c>
      <c r="H14" s="20">
        <v>4.2</v>
      </c>
      <c r="I14" s="22">
        <v>55000</v>
      </c>
      <c r="J14" s="20">
        <v>4.2</v>
      </c>
    </row>
    <row r="15" spans="1:10" ht="19.5" customHeight="1" x14ac:dyDescent="0.25">
      <c r="A15" s="17">
        <f>13</f>
        <v>13</v>
      </c>
      <c r="B15" s="18" t="s">
        <v>63</v>
      </c>
      <c r="C15" s="17" t="s">
        <v>51</v>
      </c>
      <c r="D15" s="17">
        <v>9</v>
      </c>
      <c r="E15" s="17">
        <v>5</v>
      </c>
      <c r="F15" s="17">
        <v>5</v>
      </c>
      <c r="G15" s="17">
        <v>4</v>
      </c>
      <c r="H15" s="17">
        <v>4.5999999999999996</v>
      </c>
      <c r="I15" s="19">
        <v>42000</v>
      </c>
      <c r="J15" s="17">
        <v>4.5999999999999996</v>
      </c>
    </row>
    <row r="16" spans="1:10" ht="19.5" customHeight="1" x14ac:dyDescent="0.25">
      <c r="A16" s="20">
        <f>14</f>
        <v>14</v>
      </c>
      <c r="B16" s="21" t="s">
        <v>64</v>
      </c>
      <c r="C16" s="20" t="s">
        <v>51</v>
      </c>
      <c r="D16" s="20">
        <v>8</v>
      </c>
      <c r="E16" s="20">
        <v>5</v>
      </c>
      <c r="F16" s="20">
        <v>4</v>
      </c>
      <c r="G16" s="20">
        <v>4</v>
      </c>
      <c r="H16" s="20">
        <v>4.5</v>
      </c>
      <c r="I16" s="22">
        <v>28000</v>
      </c>
      <c r="J16" s="20">
        <v>4.5</v>
      </c>
    </row>
    <row r="17" spans="1:10" ht="19.5" customHeight="1" x14ac:dyDescent="0.25">
      <c r="A17" s="17">
        <f>15</f>
        <v>15</v>
      </c>
      <c r="B17" s="18" t="s">
        <v>65</v>
      </c>
      <c r="C17" s="17" t="s">
        <v>47</v>
      </c>
      <c r="D17" s="17">
        <v>6</v>
      </c>
      <c r="E17" s="17">
        <v>8</v>
      </c>
      <c r="F17" s="17">
        <v>7</v>
      </c>
      <c r="G17" s="17">
        <v>7</v>
      </c>
      <c r="H17" s="17">
        <v>4.0999999999999996</v>
      </c>
      <c r="I17" s="19">
        <v>85000</v>
      </c>
      <c r="J17" s="17">
        <v>4.0999999999999996</v>
      </c>
    </row>
    <row r="18" spans="1:10" ht="21.75" customHeight="1" x14ac:dyDescent="0.25">
      <c r="A18" s="23"/>
      <c r="B18" s="24" t="s">
        <v>66</v>
      </c>
      <c r="C18" s="23"/>
      <c r="D18" s="25">
        <f>MIN(D3:D17)</f>
        <v>6</v>
      </c>
      <c r="E18" s="25">
        <f>MIN(E3:E17)</f>
        <v>5</v>
      </c>
      <c r="F18" s="25">
        <f>MIN(F3:F17)</f>
        <v>4</v>
      </c>
      <c r="G18" s="25">
        <f>MIN(G3:G17)</f>
        <v>4</v>
      </c>
      <c r="H18" s="25">
        <f>MIN(H3:H17)</f>
        <v>4</v>
      </c>
      <c r="I18" s="26">
        <f>SUM(I3:I17)</f>
        <v>2767000</v>
      </c>
      <c r="J18" s="23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/>
  </sheetViews>
  <sheetFormatPr defaultColWidth="8.7109375" defaultRowHeight="15" x14ac:dyDescent="0.25"/>
  <cols>
    <col min="1" max="1" width="5" style="15" customWidth="1"/>
    <col min="2" max="2" width="30" style="15" customWidth="1"/>
    <col min="3" max="12" width="12" style="15" customWidth="1"/>
  </cols>
  <sheetData>
    <row r="1" spans="1:12" ht="31.5" customHeight="1" x14ac:dyDescent="0.25">
      <c r="A1" s="5" t="s">
        <v>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1.75" customHeight="1" x14ac:dyDescent="0.25">
      <c r="A2" s="4" t="s">
        <v>68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36" customHeight="1" x14ac:dyDescent="0.25">
      <c r="A3" s="16" t="s">
        <v>36</v>
      </c>
      <c r="B3" s="16" t="s">
        <v>37</v>
      </c>
      <c r="C3" s="16" t="s">
        <v>69</v>
      </c>
      <c r="D3" s="16" t="s">
        <v>70</v>
      </c>
      <c r="E3" s="16" t="s">
        <v>71</v>
      </c>
      <c r="F3" s="16" t="s">
        <v>72</v>
      </c>
      <c r="G3" s="16" t="s">
        <v>73</v>
      </c>
      <c r="H3" s="16" t="s">
        <v>74</v>
      </c>
      <c r="I3" s="16" t="s">
        <v>75</v>
      </c>
      <c r="J3" s="16" t="s">
        <v>76</v>
      </c>
      <c r="K3" s="16" t="s">
        <v>77</v>
      </c>
      <c r="L3" s="16" t="s">
        <v>78</v>
      </c>
    </row>
    <row r="4" spans="1:12" ht="19.5" customHeight="1" x14ac:dyDescent="0.25">
      <c r="A4" s="17">
        <f>'1_Data_Asli'!A3</f>
        <v>1</v>
      </c>
      <c r="B4" s="27" t="str">
        <f>'1_Data_Asli'!B3</f>
        <v>Candi Borobudur</v>
      </c>
      <c r="C4" s="17">
        <f>'1_Data_Asli'!D3</f>
        <v>9</v>
      </c>
      <c r="D4" s="17">
        <f>'1_Data_Asli'!E3</f>
        <v>9</v>
      </c>
      <c r="E4" s="17">
        <f>'1_Data_Asli'!F3</f>
        <v>8</v>
      </c>
      <c r="F4" s="17">
        <f>'1_Data_Asli'!G3</f>
        <v>9</v>
      </c>
      <c r="G4" s="17">
        <f>'1_Data_Asli'!H3</f>
        <v>4.8</v>
      </c>
      <c r="H4" s="28">
        <f t="shared" ref="H4:H18" si="0">(C4-$C$19)/($C$20-$C$19)</f>
        <v>1</v>
      </c>
      <c r="I4" s="28">
        <f t="shared" ref="I4:I18" si="1">(D4-$D$19)/($D$20-$D$19)</f>
        <v>1</v>
      </c>
      <c r="J4" s="28">
        <f t="shared" ref="J4:J18" si="2">(E4-$E$19)/($E$20-$E$19)</f>
        <v>1</v>
      </c>
      <c r="K4" s="28">
        <f t="shared" ref="K4:K18" si="3">(F4-$F$19)/($F$20-$F$19)</f>
        <v>1</v>
      </c>
      <c r="L4" s="28">
        <f t="shared" ref="L4:L18" si="4">(G4-$G$19)/($G$20-$G$19)</f>
        <v>1</v>
      </c>
    </row>
    <row r="5" spans="1:12" ht="19.5" customHeight="1" x14ac:dyDescent="0.25">
      <c r="A5" s="20">
        <f>'1_Data_Asli'!A4</f>
        <v>2</v>
      </c>
      <c r="B5" s="29" t="str">
        <f>'1_Data_Asli'!B4</f>
        <v>Candi Mendut</v>
      </c>
      <c r="C5" s="20">
        <f>'1_Data_Asli'!D4</f>
        <v>8</v>
      </c>
      <c r="D5" s="20">
        <f>'1_Data_Asli'!E4</f>
        <v>8</v>
      </c>
      <c r="E5" s="20">
        <f>'1_Data_Asli'!F4</f>
        <v>7</v>
      </c>
      <c r="F5" s="20">
        <f>'1_Data_Asli'!G4</f>
        <v>7</v>
      </c>
      <c r="G5" s="20">
        <f>'1_Data_Asli'!H4</f>
        <v>4.5</v>
      </c>
      <c r="H5" s="30">
        <f t="shared" si="0"/>
        <v>0.66666666666666663</v>
      </c>
      <c r="I5" s="30">
        <f t="shared" si="1"/>
        <v>0.75</v>
      </c>
      <c r="J5" s="30">
        <f t="shared" si="2"/>
        <v>0.75</v>
      </c>
      <c r="K5" s="30">
        <f t="shared" si="3"/>
        <v>0.6</v>
      </c>
      <c r="L5" s="30">
        <f t="shared" si="4"/>
        <v>0.62500000000000011</v>
      </c>
    </row>
    <row r="6" spans="1:12" ht="19.5" customHeight="1" x14ac:dyDescent="0.25">
      <c r="A6" s="17">
        <f>'1_Data_Asli'!A5</f>
        <v>3</v>
      </c>
      <c r="B6" s="27" t="str">
        <f>'1_Data_Asli'!B5</f>
        <v>Candi Pawon</v>
      </c>
      <c r="C6" s="17">
        <f>'1_Data_Asli'!D5</f>
        <v>7</v>
      </c>
      <c r="D6" s="17">
        <f>'1_Data_Asli'!E5</f>
        <v>7</v>
      </c>
      <c r="E6" s="17">
        <f>'1_Data_Asli'!F5</f>
        <v>6</v>
      </c>
      <c r="F6" s="17">
        <f>'1_Data_Asli'!G5</f>
        <v>6</v>
      </c>
      <c r="G6" s="17">
        <f>'1_Data_Asli'!H5</f>
        <v>4.2</v>
      </c>
      <c r="H6" s="28">
        <f t="shared" si="0"/>
        <v>0.33333333333333331</v>
      </c>
      <c r="I6" s="28">
        <f t="shared" si="1"/>
        <v>0.5</v>
      </c>
      <c r="J6" s="28">
        <f t="shared" si="2"/>
        <v>0.5</v>
      </c>
      <c r="K6" s="28">
        <f t="shared" si="3"/>
        <v>0.4</v>
      </c>
      <c r="L6" s="28">
        <f t="shared" si="4"/>
        <v>0.25000000000000028</v>
      </c>
    </row>
    <row r="7" spans="1:12" ht="19.5" customHeight="1" x14ac:dyDescent="0.25">
      <c r="A7" s="20">
        <f>'1_Data_Asli'!A6</f>
        <v>4</v>
      </c>
      <c r="B7" s="29" t="str">
        <f>'1_Data_Asli'!B6</f>
        <v>Ketep Pass</v>
      </c>
      <c r="C7" s="20">
        <f>'1_Data_Asli'!D6</f>
        <v>9</v>
      </c>
      <c r="D7" s="20">
        <f>'1_Data_Asli'!E6</f>
        <v>7</v>
      </c>
      <c r="E7" s="20">
        <f>'1_Data_Asli'!F6</f>
        <v>8</v>
      </c>
      <c r="F7" s="20">
        <f>'1_Data_Asli'!G6</f>
        <v>7</v>
      </c>
      <c r="G7" s="20">
        <f>'1_Data_Asli'!H6</f>
        <v>4.5999999999999996</v>
      </c>
      <c r="H7" s="30">
        <f t="shared" si="0"/>
        <v>1</v>
      </c>
      <c r="I7" s="30">
        <f t="shared" si="1"/>
        <v>0.5</v>
      </c>
      <c r="J7" s="30">
        <f t="shared" si="2"/>
        <v>1</v>
      </c>
      <c r="K7" s="30">
        <f t="shared" si="3"/>
        <v>0.6</v>
      </c>
      <c r="L7" s="30">
        <f t="shared" si="4"/>
        <v>0.74999999999999978</v>
      </c>
    </row>
    <row r="8" spans="1:12" ht="19.5" customHeight="1" x14ac:dyDescent="0.25">
      <c r="A8" s="17">
        <f>'1_Data_Asli'!A7</f>
        <v>5</v>
      </c>
      <c r="B8" s="27" t="str">
        <f>'1_Data_Asli'!B7</f>
        <v>Punthuk Setumbu</v>
      </c>
      <c r="C8" s="17">
        <f>'1_Data_Asli'!D7</f>
        <v>9</v>
      </c>
      <c r="D8" s="17">
        <f>'1_Data_Asli'!E7</f>
        <v>6</v>
      </c>
      <c r="E8" s="17">
        <f>'1_Data_Asli'!F7</f>
        <v>7</v>
      </c>
      <c r="F8" s="17">
        <f>'1_Data_Asli'!G7</f>
        <v>6</v>
      </c>
      <c r="G8" s="17">
        <f>'1_Data_Asli'!H7</f>
        <v>4.7</v>
      </c>
      <c r="H8" s="28">
        <f t="shared" si="0"/>
        <v>1</v>
      </c>
      <c r="I8" s="28">
        <f t="shared" si="1"/>
        <v>0.25</v>
      </c>
      <c r="J8" s="28">
        <f t="shared" si="2"/>
        <v>0.75</v>
      </c>
      <c r="K8" s="28">
        <f t="shared" si="3"/>
        <v>0.4</v>
      </c>
      <c r="L8" s="28">
        <f t="shared" si="4"/>
        <v>0.87500000000000044</v>
      </c>
    </row>
    <row r="9" spans="1:12" ht="19.5" customHeight="1" x14ac:dyDescent="0.25">
      <c r="A9" s="20">
        <f>'1_Data_Asli'!A8</f>
        <v>6</v>
      </c>
      <c r="B9" s="29" t="str">
        <f>'1_Data_Asli'!B8</f>
        <v>Air Terjun Kedung Kayang</v>
      </c>
      <c r="C9" s="20">
        <f>'1_Data_Asli'!D8</f>
        <v>8</v>
      </c>
      <c r="D9" s="20">
        <f>'1_Data_Asli'!E8</f>
        <v>5</v>
      </c>
      <c r="E9" s="20">
        <f>'1_Data_Asli'!F8</f>
        <v>5</v>
      </c>
      <c r="F9" s="20">
        <f>'1_Data_Asli'!G8</f>
        <v>5</v>
      </c>
      <c r="G9" s="20">
        <f>'1_Data_Asli'!H8</f>
        <v>4.3</v>
      </c>
      <c r="H9" s="30">
        <f t="shared" si="0"/>
        <v>0.66666666666666663</v>
      </c>
      <c r="I9" s="30">
        <f t="shared" si="1"/>
        <v>0</v>
      </c>
      <c r="J9" s="30">
        <f t="shared" si="2"/>
        <v>0.25</v>
      </c>
      <c r="K9" s="30">
        <f t="shared" si="3"/>
        <v>0.2</v>
      </c>
      <c r="L9" s="30">
        <f t="shared" si="4"/>
        <v>0.37499999999999989</v>
      </c>
    </row>
    <row r="10" spans="1:12" ht="19.5" customHeight="1" x14ac:dyDescent="0.25">
      <c r="A10" s="17">
        <f>'1_Data_Asli'!A9</f>
        <v>7</v>
      </c>
      <c r="B10" s="27" t="str">
        <f>'1_Data_Asli'!B9</f>
        <v>Desa Wisata Candirejo</v>
      </c>
      <c r="C10" s="17">
        <f>'1_Data_Asli'!D9</f>
        <v>7</v>
      </c>
      <c r="D10" s="17">
        <f>'1_Data_Asli'!E9</f>
        <v>7</v>
      </c>
      <c r="E10" s="17">
        <f>'1_Data_Asli'!F9</f>
        <v>6</v>
      </c>
      <c r="F10" s="17">
        <f>'1_Data_Asli'!G9</f>
        <v>6</v>
      </c>
      <c r="G10" s="17">
        <f>'1_Data_Asli'!H9</f>
        <v>4.4000000000000004</v>
      </c>
      <c r="H10" s="28">
        <f t="shared" si="0"/>
        <v>0.33333333333333331</v>
      </c>
      <c r="I10" s="28">
        <f t="shared" si="1"/>
        <v>0.5</v>
      </c>
      <c r="J10" s="28">
        <f t="shared" si="2"/>
        <v>0.5</v>
      </c>
      <c r="K10" s="28">
        <f t="shared" si="3"/>
        <v>0.4</v>
      </c>
      <c r="L10" s="28">
        <f t="shared" si="4"/>
        <v>0.50000000000000056</v>
      </c>
    </row>
    <row r="11" spans="1:12" ht="19.5" customHeight="1" x14ac:dyDescent="0.25">
      <c r="A11" s="20">
        <f>'1_Data_Asli'!A10</f>
        <v>8</v>
      </c>
      <c r="B11" s="29" t="str">
        <f>'1_Data_Asli'!B10</f>
        <v>Desa Wisata Ngargogondo</v>
      </c>
      <c r="C11" s="20">
        <f>'1_Data_Asli'!D10</f>
        <v>6</v>
      </c>
      <c r="D11" s="20">
        <f>'1_Data_Asli'!E10</f>
        <v>6</v>
      </c>
      <c r="E11" s="20">
        <f>'1_Data_Asli'!F10</f>
        <v>5</v>
      </c>
      <c r="F11" s="20">
        <f>'1_Data_Asli'!G10</f>
        <v>5</v>
      </c>
      <c r="G11" s="20">
        <f>'1_Data_Asli'!H10</f>
        <v>4.0999999999999996</v>
      </c>
      <c r="H11" s="30">
        <f t="shared" si="0"/>
        <v>0</v>
      </c>
      <c r="I11" s="30">
        <f t="shared" si="1"/>
        <v>0.25</v>
      </c>
      <c r="J11" s="30">
        <f t="shared" si="2"/>
        <v>0.25</v>
      </c>
      <c r="K11" s="30">
        <f t="shared" si="3"/>
        <v>0.2</v>
      </c>
      <c r="L11" s="30">
        <f t="shared" si="4"/>
        <v>0.12499999999999958</v>
      </c>
    </row>
    <row r="12" spans="1:12" ht="19.5" customHeight="1" x14ac:dyDescent="0.25">
      <c r="A12" s="17">
        <f>'1_Data_Asli'!A11</f>
        <v>9</v>
      </c>
      <c r="B12" s="27" t="str">
        <f>'1_Data_Asli'!B11</f>
        <v>Masjid Agung Magelang</v>
      </c>
      <c r="C12" s="17">
        <f>'1_Data_Asli'!D11</f>
        <v>7</v>
      </c>
      <c r="D12" s="17">
        <f>'1_Data_Asli'!E11</f>
        <v>9</v>
      </c>
      <c r="E12" s="17">
        <f>'1_Data_Asli'!F11</f>
        <v>8</v>
      </c>
      <c r="F12" s="17">
        <f>'1_Data_Asli'!G11</f>
        <v>8</v>
      </c>
      <c r="G12" s="17">
        <f>'1_Data_Asli'!H11</f>
        <v>4.5</v>
      </c>
      <c r="H12" s="28">
        <f t="shared" si="0"/>
        <v>0.33333333333333331</v>
      </c>
      <c r="I12" s="28">
        <f t="shared" si="1"/>
        <v>1</v>
      </c>
      <c r="J12" s="28">
        <f t="shared" si="2"/>
        <v>1</v>
      </c>
      <c r="K12" s="28">
        <f t="shared" si="3"/>
        <v>0.8</v>
      </c>
      <c r="L12" s="28">
        <f t="shared" si="4"/>
        <v>0.62500000000000011</v>
      </c>
    </row>
    <row r="13" spans="1:12" ht="19.5" customHeight="1" x14ac:dyDescent="0.25">
      <c r="A13" s="20">
        <f>'1_Data_Asli'!A12</f>
        <v>10</v>
      </c>
      <c r="B13" s="29" t="str">
        <f>'1_Data_Asli'!B12</f>
        <v>Makam Kyai Raden Santri</v>
      </c>
      <c r="C13" s="20">
        <f>'1_Data_Asli'!D12</f>
        <v>6</v>
      </c>
      <c r="D13" s="20">
        <f>'1_Data_Asli'!E12</f>
        <v>7</v>
      </c>
      <c r="E13" s="20">
        <f>'1_Data_Asli'!F12</f>
        <v>5</v>
      </c>
      <c r="F13" s="20">
        <f>'1_Data_Asli'!G12</f>
        <v>5</v>
      </c>
      <c r="G13" s="20">
        <f>'1_Data_Asli'!H12</f>
        <v>4</v>
      </c>
      <c r="H13" s="30">
        <f t="shared" si="0"/>
        <v>0</v>
      </c>
      <c r="I13" s="30">
        <f t="shared" si="1"/>
        <v>0.5</v>
      </c>
      <c r="J13" s="30">
        <f t="shared" si="2"/>
        <v>0.25</v>
      </c>
      <c r="K13" s="30">
        <f t="shared" si="3"/>
        <v>0.2</v>
      </c>
      <c r="L13" s="30">
        <f t="shared" si="4"/>
        <v>0</v>
      </c>
    </row>
    <row r="14" spans="1:12" ht="19.5" customHeight="1" x14ac:dyDescent="0.25">
      <c r="A14" s="17">
        <f>'1_Data_Asli'!A13</f>
        <v>11</v>
      </c>
      <c r="B14" s="27" t="str">
        <f>'1_Data_Asli'!B13</f>
        <v>Taman Kyai Langgeng</v>
      </c>
      <c r="C14" s="17">
        <f>'1_Data_Asli'!D13</f>
        <v>8</v>
      </c>
      <c r="D14" s="17">
        <f>'1_Data_Asli'!E13</f>
        <v>9</v>
      </c>
      <c r="E14" s="17">
        <f>'1_Data_Asli'!F13</f>
        <v>8</v>
      </c>
      <c r="F14" s="17">
        <f>'1_Data_Asli'!G13</f>
        <v>8</v>
      </c>
      <c r="G14" s="17">
        <f>'1_Data_Asli'!H13</f>
        <v>4.4000000000000004</v>
      </c>
      <c r="H14" s="28">
        <f t="shared" si="0"/>
        <v>0.66666666666666663</v>
      </c>
      <c r="I14" s="28">
        <f t="shared" si="1"/>
        <v>1</v>
      </c>
      <c r="J14" s="28">
        <f t="shared" si="2"/>
        <v>1</v>
      </c>
      <c r="K14" s="28">
        <f t="shared" si="3"/>
        <v>0.8</v>
      </c>
      <c r="L14" s="28">
        <f t="shared" si="4"/>
        <v>0.50000000000000056</v>
      </c>
    </row>
    <row r="15" spans="1:12" ht="19.5" customHeight="1" x14ac:dyDescent="0.25">
      <c r="A15" s="20">
        <f>'1_Data_Asli'!A14</f>
        <v>12</v>
      </c>
      <c r="B15" s="29" t="str">
        <f>'1_Data_Asli'!B14</f>
        <v>Kebun Teh Ngluwar</v>
      </c>
      <c r="C15" s="20">
        <f>'1_Data_Asli'!D14</f>
        <v>7</v>
      </c>
      <c r="D15" s="20">
        <f>'1_Data_Asli'!E14</f>
        <v>6</v>
      </c>
      <c r="E15" s="20">
        <f>'1_Data_Asli'!F14</f>
        <v>5</v>
      </c>
      <c r="F15" s="20">
        <f>'1_Data_Asli'!G14</f>
        <v>5</v>
      </c>
      <c r="G15" s="20">
        <f>'1_Data_Asli'!H14</f>
        <v>4.2</v>
      </c>
      <c r="H15" s="30">
        <f t="shared" si="0"/>
        <v>0.33333333333333331</v>
      </c>
      <c r="I15" s="30">
        <f t="shared" si="1"/>
        <v>0.25</v>
      </c>
      <c r="J15" s="30">
        <f t="shared" si="2"/>
        <v>0.25</v>
      </c>
      <c r="K15" s="30">
        <f t="shared" si="3"/>
        <v>0.2</v>
      </c>
      <c r="L15" s="30">
        <f t="shared" si="4"/>
        <v>0.25000000000000028</v>
      </c>
    </row>
    <row r="16" spans="1:12" ht="19.5" customHeight="1" x14ac:dyDescent="0.25">
      <c r="A16" s="17">
        <f>'1_Data_Asli'!A15</f>
        <v>13</v>
      </c>
      <c r="B16" s="27" t="str">
        <f>'1_Data_Asli'!B15</f>
        <v>Gunung Merbabu (basecamp)</v>
      </c>
      <c r="C16" s="17">
        <f>'1_Data_Asli'!D15</f>
        <v>9</v>
      </c>
      <c r="D16" s="17">
        <f>'1_Data_Asli'!E15</f>
        <v>5</v>
      </c>
      <c r="E16" s="17">
        <f>'1_Data_Asli'!F15</f>
        <v>5</v>
      </c>
      <c r="F16" s="17">
        <f>'1_Data_Asli'!G15</f>
        <v>4</v>
      </c>
      <c r="G16" s="17">
        <f>'1_Data_Asli'!H15</f>
        <v>4.5999999999999996</v>
      </c>
      <c r="H16" s="28">
        <f t="shared" si="0"/>
        <v>1</v>
      </c>
      <c r="I16" s="28">
        <f t="shared" si="1"/>
        <v>0</v>
      </c>
      <c r="J16" s="28">
        <f t="shared" si="2"/>
        <v>0.25</v>
      </c>
      <c r="K16" s="28">
        <f t="shared" si="3"/>
        <v>0</v>
      </c>
      <c r="L16" s="28">
        <f t="shared" si="4"/>
        <v>0.74999999999999978</v>
      </c>
    </row>
    <row r="17" spans="1:12" ht="19.5" customHeight="1" x14ac:dyDescent="0.25">
      <c r="A17" s="20">
        <f>'1_Data_Asli'!A16</f>
        <v>14</v>
      </c>
      <c r="B17" s="29" t="str">
        <f>'1_Data_Asli'!B16</f>
        <v>Sunrise Puthuk Mongkrong</v>
      </c>
      <c r="C17" s="20">
        <f>'1_Data_Asli'!D16</f>
        <v>8</v>
      </c>
      <c r="D17" s="20">
        <f>'1_Data_Asli'!E16</f>
        <v>5</v>
      </c>
      <c r="E17" s="20">
        <f>'1_Data_Asli'!F16</f>
        <v>4</v>
      </c>
      <c r="F17" s="20">
        <f>'1_Data_Asli'!G16</f>
        <v>4</v>
      </c>
      <c r="G17" s="20">
        <f>'1_Data_Asli'!H16</f>
        <v>4.5</v>
      </c>
      <c r="H17" s="30">
        <f t="shared" si="0"/>
        <v>0.66666666666666663</v>
      </c>
      <c r="I17" s="30">
        <f t="shared" si="1"/>
        <v>0</v>
      </c>
      <c r="J17" s="30">
        <f t="shared" si="2"/>
        <v>0</v>
      </c>
      <c r="K17" s="30">
        <f t="shared" si="3"/>
        <v>0</v>
      </c>
      <c r="L17" s="30">
        <f t="shared" si="4"/>
        <v>0.62500000000000011</v>
      </c>
    </row>
    <row r="18" spans="1:12" ht="19.5" customHeight="1" x14ac:dyDescent="0.25">
      <c r="A18" s="17">
        <f>'1_Data_Asli'!A17</f>
        <v>15</v>
      </c>
      <c r="B18" s="27" t="str">
        <f>'1_Data_Asli'!B17</f>
        <v>Museum Diponegoro</v>
      </c>
      <c r="C18" s="17">
        <f>'1_Data_Asli'!D17</f>
        <v>6</v>
      </c>
      <c r="D18" s="17">
        <f>'1_Data_Asli'!E17</f>
        <v>8</v>
      </c>
      <c r="E18" s="17">
        <f>'1_Data_Asli'!F17</f>
        <v>7</v>
      </c>
      <c r="F18" s="17">
        <f>'1_Data_Asli'!G17</f>
        <v>7</v>
      </c>
      <c r="G18" s="17">
        <f>'1_Data_Asli'!H17</f>
        <v>4.0999999999999996</v>
      </c>
      <c r="H18" s="28">
        <f t="shared" si="0"/>
        <v>0</v>
      </c>
      <c r="I18" s="28">
        <f t="shared" si="1"/>
        <v>0.75</v>
      </c>
      <c r="J18" s="28">
        <f t="shared" si="2"/>
        <v>0.75</v>
      </c>
      <c r="K18" s="28">
        <f t="shared" si="3"/>
        <v>0.6</v>
      </c>
      <c r="L18" s="28">
        <f t="shared" si="4"/>
        <v>0.12499999999999958</v>
      </c>
    </row>
    <row r="19" spans="1:12" ht="19.5" customHeight="1" x14ac:dyDescent="0.25">
      <c r="A19" s="31"/>
      <c r="B19" s="32" t="s">
        <v>79</v>
      </c>
      <c r="C19" s="32">
        <f>MIN('1_Data_Asli'!D3:D17)</f>
        <v>6</v>
      </c>
      <c r="D19" s="32">
        <f>MIN('1_Data_Asli'!E3:E17)</f>
        <v>5</v>
      </c>
      <c r="E19" s="32">
        <f>MIN('1_Data_Asli'!F3:F17)</f>
        <v>4</v>
      </c>
      <c r="F19" s="32">
        <f>MIN('1_Data_Asli'!G3:G17)</f>
        <v>4</v>
      </c>
      <c r="G19" s="32">
        <f>MIN('1_Data_Asli'!H3:H17)</f>
        <v>4</v>
      </c>
      <c r="H19" s="33">
        <f>0</f>
        <v>0</v>
      </c>
      <c r="I19" s="33">
        <f>0</f>
        <v>0</v>
      </c>
      <c r="J19" s="33">
        <f>0</f>
        <v>0</v>
      </c>
      <c r="K19" s="33">
        <f>0</f>
        <v>0</v>
      </c>
      <c r="L19" s="33">
        <f>0</f>
        <v>0</v>
      </c>
    </row>
    <row r="20" spans="1:12" ht="19.5" customHeight="1" x14ac:dyDescent="0.25">
      <c r="A20" s="34"/>
      <c r="B20" s="35" t="s">
        <v>80</v>
      </c>
      <c r="C20" s="35">
        <f>MAX('1_Data_Asli'!D3:D17)</f>
        <v>9</v>
      </c>
      <c r="D20" s="35">
        <f>MAX('1_Data_Asli'!E3:E17)</f>
        <v>9</v>
      </c>
      <c r="E20" s="35">
        <f>MAX('1_Data_Asli'!F3:F17)</f>
        <v>8</v>
      </c>
      <c r="F20" s="35">
        <f>MAX('1_Data_Asli'!G3:G17)</f>
        <v>9</v>
      </c>
      <c r="G20" s="35">
        <f>MAX('1_Data_Asli'!H3:H17)</f>
        <v>4.8</v>
      </c>
      <c r="H20" s="36">
        <f>1</f>
        <v>1</v>
      </c>
      <c r="I20" s="36">
        <f>1</f>
        <v>1</v>
      </c>
      <c r="J20" s="36">
        <f>1</f>
        <v>1</v>
      </c>
      <c r="K20" s="36">
        <f>1</f>
        <v>1</v>
      </c>
      <c r="L20" s="36">
        <f>1</f>
        <v>1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tabSelected="1" zoomScaleNormal="100" workbookViewId="0">
      <selection activeCell="C6" sqref="C6"/>
    </sheetView>
  </sheetViews>
  <sheetFormatPr defaultColWidth="8.7109375" defaultRowHeight="15" x14ac:dyDescent="0.25"/>
  <cols>
    <col min="1" max="1" width="20" style="15" customWidth="1"/>
    <col min="2" max="4" width="16" style="15" customWidth="1"/>
    <col min="5" max="5" width="14" style="15" customWidth="1"/>
    <col min="6" max="8" width="16" style="15" customWidth="1"/>
  </cols>
  <sheetData>
    <row r="1" spans="1:8" ht="31.5" customHeight="1" x14ac:dyDescent="0.25">
      <c r="A1" s="5" t="s">
        <v>81</v>
      </c>
      <c r="B1" s="5"/>
      <c r="C1" s="5"/>
      <c r="D1" s="5"/>
      <c r="E1" s="5"/>
      <c r="F1" s="5"/>
      <c r="G1" s="5"/>
      <c r="H1" s="5"/>
    </row>
    <row r="2" spans="1:8" ht="21.75" customHeight="1" x14ac:dyDescent="0.25">
      <c r="A2" s="4" t="s">
        <v>82</v>
      </c>
      <c r="B2" s="4"/>
      <c r="C2" s="4"/>
      <c r="D2" s="4"/>
      <c r="E2" s="4"/>
      <c r="F2" s="4"/>
      <c r="G2" s="4"/>
      <c r="H2" s="4"/>
    </row>
    <row r="3" spans="1:8" ht="45" x14ac:dyDescent="0.25">
      <c r="A3" s="37" t="s">
        <v>6</v>
      </c>
      <c r="B3" s="38" t="s">
        <v>83</v>
      </c>
      <c r="C3" s="39" t="s">
        <v>84</v>
      </c>
      <c r="D3" s="40" t="s">
        <v>85</v>
      </c>
      <c r="E3" s="16" t="s">
        <v>86</v>
      </c>
    </row>
    <row r="4" spans="1:8" ht="24" customHeight="1" x14ac:dyDescent="0.25">
      <c r="A4" s="18" t="s">
        <v>87</v>
      </c>
      <c r="B4" s="41">
        <f>'2_Normalisasi'!H4</f>
        <v>1</v>
      </c>
      <c r="C4" s="42">
        <f>'2_Normalisasi'!H9</f>
        <v>0.66666666666666663</v>
      </c>
      <c r="D4" s="43">
        <f>'2_Normalisasi'!H14</f>
        <v>0.66666666666666663</v>
      </c>
      <c r="E4" s="44">
        <f>(9-6)/(9-6)</f>
        <v>1</v>
      </c>
    </row>
    <row r="5" spans="1:8" ht="24" customHeight="1" x14ac:dyDescent="0.25">
      <c r="A5" s="18" t="s">
        <v>88</v>
      </c>
      <c r="B5" s="41">
        <f>'2_Normalisasi'!I4</f>
        <v>1</v>
      </c>
      <c r="C5" s="42">
        <f>'2_Normalisasi'!I9</f>
        <v>0</v>
      </c>
      <c r="D5" s="43">
        <f>'2_Normalisasi'!I14</f>
        <v>1</v>
      </c>
      <c r="E5" s="44">
        <f>(9-5)/(9-5)</f>
        <v>1</v>
      </c>
    </row>
    <row r="6" spans="1:8" ht="24" customHeight="1" x14ac:dyDescent="0.25">
      <c r="A6" s="18" t="s">
        <v>89</v>
      </c>
      <c r="B6" s="41">
        <f>'2_Normalisasi'!J4</f>
        <v>1</v>
      </c>
      <c r="C6" s="42">
        <f>'2_Normalisasi'!J9</f>
        <v>0.25</v>
      </c>
      <c r="D6" s="43">
        <f>'2_Normalisasi'!J14</f>
        <v>1</v>
      </c>
      <c r="E6" s="44">
        <f>(8-4)/(8-4)</f>
        <v>1</v>
      </c>
    </row>
    <row r="7" spans="1:8" ht="24" customHeight="1" x14ac:dyDescent="0.25">
      <c r="A7" s="18" t="s">
        <v>90</v>
      </c>
      <c r="B7" s="41">
        <f>'2_Normalisasi'!K4</f>
        <v>1</v>
      </c>
      <c r="C7" s="42">
        <f>'2_Normalisasi'!K9</f>
        <v>0.2</v>
      </c>
      <c r="D7" s="43">
        <f>'2_Normalisasi'!K14</f>
        <v>0.8</v>
      </c>
      <c r="E7" s="44">
        <f>(9-4)/(9-4)</f>
        <v>1</v>
      </c>
    </row>
    <row r="8" spans="1:8" ht="24" customHeight="1" x14ac:dyDescent="0.25">
      <c r="A8" s="18" t="s">
        <v>91</v>
      </c>
      <c r="B8" s="41">
        <f>'2_Normalisasi'!L4</f>
        <v>1</v>
      </c>
      <c r="C8" s="42">
        <f>'2_Normalisasi'!L9</f>
        <v>0.37499999999999989</v>
      </c>
      <c r="D8" s="43">
        <f>'2_Normalisasi'!L14</f>
        <v>0.50000000000000056</v>
      </c>
      <c r="E8" s="44">
        <f>(4.8-4)/(4.8-4)</f>
        <v>1</v>
      </c>
    </row>
    <row r="10" spans="1:8" ht="19.5" customHeight="1" x14ac:dyDescent="0.25">
      <c r="A10" s="3" t="s">
        <v>92</v>
      </c>
      <c r="B10" s="3"/>
      <c r="C10" s="3"/>
      <c r="D10" s="3"/>
    </row>
  </sheetData>
  <mergeCells count="3">
    <mergeCell ref="A1:H1"/>
    <mergeCell ref="A2:H2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zoomScaleNormal="100" workbookViewId="0"/>
  </sheetViews>
  <sheetFormatPr defaultColWidth="8.7109375" defaultRowHeight="15" x14ac:dyDescent="0.25"/>
  <cols>
    <col min="1" max="1" width="5" style="15" customWidth="1"/>
    <col min="2" max="2" width="30" style="15" customWidth="1"/>
    <col min="3" max="5" width="14" style="15" customWidth="1"/>
    <col min="6" max="6" width="10" style="15" customWidth="1"/>
    <col min="7" max="7" width="18" style="15" customWidth="1"/>
    <col min="8" max="8" width="12" style="15" customWidth="1"/>
    <col min="9" max="13" width="14" style="15" customWidth="1"/>
  </cols>
  <sheetData>
    <row r="1" spans="1:13" ht="31.5" customHeight="1" x14ac:dyDescent="0.25">
      <c r="A1" s="5" t="s">
        <v>93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1.75" customHeight="1" x14ac:dyDescent="0.25">
      <c r="A2" s="4" t="s">
        <v>94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8" customHeight="1" x14ac:dyDescent="0.25">
      <c r="A3" s="2" t="s">
        <v>95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8" customHeight="1" x14ac:dyDescent="0.25">
      <c r="A4" s="45" t="s">
        <v>96</v>
      </c>
      <c r="B4" s="45" t="s">
        <v>87</v>
      </c>
      <c r="C4" s="45" t="s">
        <v>88</v>
      </c>
      <c r="D4" s="45" t="s">
        <v>89</v>
      </c>
      <c r="E4" s="45" t="s">
        <v>90</v>
      </c>
      <c r="F4" s="45" t="s">
        <v>91</v>
      </c>
    </row>
    <row r="5" spans="1:13" ht="18" customHeight="1" x14ac:dyDescent="0.25">
      <c r="A5" s="46" t="s">
        <v>97</v>
      </c>
      <c r="B5" s="47">
        <f>'3_Centroid_Awal'!B4</f>
        <v>1</v>
      </c>
      <c r="C5" s="47">
        <f>'3_Centroid_Awal'!B5</f>
        <v>1</v>
      </c>
      <c r="D5" s="47">
        <f>'3_Centroid_Awal'!B6</f>
        <v>1</v>
      </c>
      <c r="E5" s="47">
        <f>'3_Centroid_Awal'!B7</f>
        <v>1</v>
      </c>
      <c r="F5" s="47">
        <f>'3_Centroid_Awal'!B8</f>
        <v>1</v>
      </c>
    </row>
    <row r="6" spans="1:13" ht="18" customHeight="1" x14ac:dyDescent="0.25">
      <c r="A6" s="48" t="s">
        <v>98</v>
      </c>
      <c r="B6" s="49">
        <f>'3_Centroid_Awal'!C4</f>
        <v>0.66666666666666663</v>
      </c>
      <c r="C6" s="49">
        <f>'3_Centroid_Awal'!C5</f>
        <v>0</v>
      </c>
      <c r="D6" s="49">
        <f>'3_Centroid_Awal'!C6</f>
        <v>0.25</v>
      </c>
      <c r="E6" s="49">
        <f>'3_Centroid_Awal'!C7</f>
        <v>0.2</v>
      </c>
      <c r="F6" s="49">
        <f>'3_Centroid_Awal'!C8</f>
        <v>0.37499999999999989</v>
      </c>
    </row>
    <row r="7" spans="1:13" ht="18" customHeight="1" x14ac:dyDescent="0.25">
      <c r="A7" s="50" t="s">
        <v>99</v>
      </c>
      <c r="B7" s="51">
        <f>'3_Centroid_Awal'!D4</f>
        <v>0.66666666666666663</v>
      </c>
      <c r="C7" s="51">
        <f>'3_Centroid_Awal'!D5</f>
        <v>1</v>
      </c>
      <c r="D7" s="51">
        <f>'3_Centroid_Awal'!D6</f>
        <v>1</v>
      </c>
      <c r="E7" s="51">
        <f>'3_Centroid_Awal'!D7</f>
        <v>0.8</v>
      </c>
      <c r="F7" s="51">
        <f>'3_Centroid_Awal'!D8</f>
        <v>0.50000000000000056</v>
      </c>
    </row>
    <row r="9" spans="1:13" ht="36" customHeight="1" x14ac:dyDescent="0.25">
      <c r="A9" s="16" t="s">
        <v>36</v>
      </c>
      <c r="B9" s="16" t="s">
        <v>37</v>
      </c>
      <c r="C9" s="38" t="s">
        <v>100</v>
      </c>
      <c r="D9" s="39" t="s">
        <v>101</v>
      </c>
      <c r="E9" s="40" t="s">
        <v>102</v>
      </c>
      <c r="F9" s="52" t="s">
        <v>103</v>
      </c>
      <c r="G9" s="52" t="s">
        <v>104</v>
      </c>
      <c r="H9" s="52" t="s">
        <v>105</v>
      </c>
      <c r="I9" s="53" t="s">
        <v>106</v>
      </c>
      <c r="J9" s="53"/>
      <c r="K9" s="53"/>
      <c r="L9" s="53"/>
      <c r="M9" s="53"/>
    </row>
    <row r="10" spans="1:13" ht="21.75" customHeight="1" x14ac:dyDescent="0.25">
      <c r="A10" s="54">
        <f>'2_Normalisasi'!A4</f>
        <v>1</v>
      </c>
      <c r="B10" s="55" t="str">
        <f>'2_Normalisasi'!B4</f>
        <v>Candi Borobudur</v>
      </c>
      <c r="C10" s="41">
        <f>SQRT(('2_Normalisasi'!H4-B$5)^2+('2_Normalisasi'!I4-C$5)^2+('2_Normalisasi'!J4-D$5)^2+('2_Normalisasi'!K4-E$5)^2+('2_Normalisasi'!L4-F$5)^2)</f>
        <v>0</v>
      </c>
      <c r="D10" s="56">
        <f>SQRT(('2_Normalisasi'!H4-B$6)^2+('2_Normalisasi'!I4-C$6)^2+('2_Normalisasi'!J4-D$6)^2+('2_Normalisasi'!K4-E$6)^2+('2_Normalisasi'!L4-F$6)^2)</f>
        <v>1.6444561748830862</v>
      </c>
      <c r="E10" s="56">
        <f>SQRT(('2_Normalisasi'!H4-B$7)^2+('2_Normalisasi'!I4-C$7)^2+('2_Normalisasi'!J4-D$7)^2+('2_Normalisasi'!K4-E$7)^2+('2_Normalisasi'!L4-F$7)^2)</f>
        <v>0.63333333333333286</v>
      </c>
      <c r="F10" s="57" t="str">
        <f t="shared" ref="F10:F24" si="0">IF(AND(C10&lt;=D10,C10&lt;=E10),"C1",IF(D10&lt;=E10,"C2","C3"))</f>
        <v>C1</v>
      </c>
      <c r="G10" s="57" t="str">
        <f t="shared" ref="G10:G24" si="1">IF(F10="C1","Prioritas Tinggi",IF(F10="C2","Prioritas Rendah","Prioritas Sedang"))</f>
        <v>Prioritas Tinggi</v>
      </c>
      <c r="H10" s="28">
        <f t="shared" ref="H10:H24" si="2">MIN(C10,D10,E10)</f>
        <v>0</v>
      </c>
      <c r="I10" s="58" t="s">
        <v>107</v>
      </c>
    </row>
    <row r="11" spans="1:13" ht="21.75" customHeight="1" x14ac:dyDescent="0.25">
      <c r="A11" s="20">
        <f>'2_Normalisasi'!A5</f>
        <v>2</v>
      </c>
      <c r="B11" s="29" t="str">
        <f>'2_Normalisasi'!B5</f>
        <v>Candi Mendut</v>
      </c>
      <c r="C11" s="59">
        <f>SQRT(('2_Normalisasi'!H5-B$5)^2+('2_Normalisasi'!I5-C$5)^2+('2_Normalisasi'!J5-D$5)^2+('2_Normalisasi'!K5-E$5)^2+('2_Normalisasi'!L5-F$5)^2)</f>
        <v>0.73262276180249208</v>
      </c>
      <c r="D11" s="59">
        <f>SQRT(('2_Normalisasi'!H5-B$6)^2+('2_Normalisasi'!I5-C$6)^2+('2_Normalisasi'!J5-D$6)^2+('2_Normalisasi'!K5-E$6)^2+('2_Normalisasi'!L5-F$6)^2)</f>
        <v>1.0173494974687902</v>
      </c>
      <c r="E11" s="43">
        <f>SQRT(('2_Normalisasi'!H5-B$7)^2+('2_Normalisasi'!I5-C$7)^2+('2_Normalisasi'!J5-D$7)^2+('2_Normalisasi'!K5-E$7)^2+('2_Normalisasi'!L5-F$7)^2)</f>
        <v>0.42499999999999993</v>
      </c>
      <c r="F11" s="32" t="str">
        <f t="shared" si="0"/>
        <v>C3</v>
      </c>
      <c r="G11" s="32" t="str">
        <f t="shared" si="1"/>
        <v>Prioritas Sedang</v>
      </c>
      <c r="H11" s="28">
        <f t="shared" si="2"/>
        <v>0.42499999999999993</v>
      </c>
      <c r="I11" s="58" t="s">
        <v>108</v>
      </c>
    </row>
    <row r="12" spans="1:13" ht="21.75" customHeight="1" x14ac:dyDescent="0.25">
      <c r="A12" s="54">
        <f>'2_Normalisasi'!A6</f>
        <v>3</v>
      </c>
      <c r="B12" s="55" t="str">
        <f>'2_Normalisasi'!B6</f>
        <v>Candi Pawon</v>
      </c>
      <c r="C12" s="56">
        <f>SQRT(('2_Normalisasi'!H6-B$5)^2+('2_Normalisasi'!I6-C$5)^2+('2_Normalisasi'!J6-D$5)^2+('2_Normalisasi'!K6-E$5)^2+('2_Normalisasi'!L6-F$5)^2)</f>
        <v>1.3663617546039717</v>
      </c>
      <c r="D12" s="42">
        <f>SQRT(('2_Normalisasi'!H6-B$6)^2+('2_Normalisasi'!I6-C$6)^2+('2_Normalisasi'!J6-D$6)^2+('2_Normalisasi'!K6-E$6)^2+('2_Normalisasi'!L6-F$6)^2)</f>
        <v>0.69226881419800423</v>
      </c>
      <c r="E12" s="56">
        <f>SQRT(('2_Normalisasi'!H6-B$7)^2+('2_Normalisasi'!I6-C$7)^2+('2_Normalisasi'!J6-D$7)^2+('2_Normalisasi'!K6-E$7)^2+('2_Normalisasi'!L6-F$7)^2)</f>
        <v>0.91302306165348934</v>
      </c>
      <c r="F12" s="60" t="str">
        <f t="shared" si="0"/>
        <v>C2</v>
      </c>
      <c r="G12" s="60" t="str">
        <f t="shared" si="1"/>
        <v>Prioritas Rendah</v>
      </c>
      <c r="H12" s="28">
        <f t="shared" si="2"/>
        <v>0.69226881419800423</v>
      </c>
      <c r="I12" s="58" t="s">
        <v>109</v>
      </c>
    </row>
    <row r="13" spans="1:13" ht="21.75" customHeight="1" x14ac:dyDescent="0.25">
      <c r="A13" s="20">
        <f>'2_Normalisasi'!A7</f>
        <v>4</v>
      </c>
      <c r="B13" s="29" t="str">
        <f>'2_Normalisasi'!B7</f>
        <v>Ketep Pass</v>
      </c>
      <c r="C13" s="59">
        <f>SQRT(('2_Normalisasi'!H7-B$5)^2+('2_Normalisasi'!I7-C$5)^2+('2_Normalisasi'!J7-D$5)^2+('2_Normalisasi'!K7-E$5)^2+('2_Normalisasi'!L7-F$5)^2)</f>
        <v>0.68738635424337613</v>
      </c>
      <c r="D13" s="59">
        <f>SQRT(('2_Normalisasi'!H7-B$6)^2+('2_Normalisasi'!I7-C$6)^2+('2_Normalisasi'!J7-D$6)^2+('2_Normalisasi'!K7-E$6)^2+('2_Normalisasi'!L7-F$6)^2)</f>
        <v>1.1064520374201094</v>
      </c>
      <c r="E13" s="43">
        <f>SQRT(('2_Normalisasi'!H7-B$7)^2+('2_Normalisasi'!I7-C$7)^2+('2_Normalisasi'!J7-D$7)^2+('2_Normalisasi'!K7-E$7)^2+('2_Normalisasi'!L7-F$7)^2)</f>
        <v>0.68088994052718299</v>
      </c>
      <c r="F13" s="32" t="str">
        <f t="shared" si="0"/>
        <v>C3</v>
      </c>
      <c r="G13" s="32" t="str">
        <f t="shared" si="1"/>
        <v>Prioritas Sedang</v>
      </c>
      <c r="H13" s="28">
        <f t="shared" si="2"/>
        <v>0.68088994052718299</v>
      </c>
      <c r="I13" s="58" t="s">
        <v>110</v>
      </c>
    </row>
    <row r="14" spans="1:13" ht="21.75" customHeight="1" x14ac:dyDescent="0.25">
      <c r="A14" s="54">
        <f>'2_Normalisasi'!A8</f>
        <v>5</v>
      </c>
      <c r="B14" s="55" t="str">
        <f>'2_Normalisasi'!B8</f>
        <v>Punthuk Setumbu</v>
      </c>
      <c r="C14" s="56">
        <f>SQRT(('2_Normalisasi'!H8-B$5)^2+('2_Normalisasi'!I8-C$5)^2+('2_Normalisasi'!J8-D$5)^2+('2_Normalisasi'!K8-E$5)^2+('2_Normalisasi'!L8-F$5)^2)</f>
        <v>1.0003124511871277</v>
      </c>
      <c r="D14" s="42">
        <f>SQRT(('2_Normalisasi'!H8-B$6)^2+('2_Normalisasi'!I8-C$6)^2+('2_Normalisasi'!J8-D$6)^2+('2_Normalisasi'!K8-E$6)^2+('2_Normalisasi'!L8-F$6)^2)</f>
        <v>0.84475505983161281</v>
      </c>
      <c r="E14" s="56">
        <f>SQRT(('2_Normalisasi'!H8-B$7)^2+('2_Normalisasi'!I8-C$7)^2+('2_Normalisasi'!J8-D$7)^2+('2_Normalisasi'!K8-E$7)^2+('2_Normalisasi'!L8-F$7)^2)</f>
        <v>1.0182023920179677</v>
      </c>
      <c r="F14" s="60" t="str">
        <f t="shared" si="0"/>
        <v>C2</v>
      </c>
      <c r="G14" s="60" t="str">
        <f t="shared" si="1"/>
        <v>Prioritas Rendah</v>
      </c>
      <c r="H14" s="28">
        <f t="shared" si="2"/>
        <v>0.84475505983161281</v>
      </c>
      <c r="I14" s="58" t="s">
        <v>111</v>
      </c>
    </row>
    <row r="15" spans="1:13" ht="21.75" customHeight="1" x14ac:dyDescent="0.25">
      <c r="A15" s="20">
        <f>'2_Normalisasi'!A9</f>
        <v>6</v>
      </c>
      <c r="B15" s="29" t="str">
        <f>'2_Normalisasi'!B9</f>
        <v>Air Terjun Kedung Kayang</v>
      </c>
      <c r="C15" s="59">
        <f>SQRT(('2_Normalisasi'!H9-B$5)^2+('2_Normalisasi'!I9-C$5)^2+('2_Normalisasi'!J9-D$5)^2+('2_Normalisasi'!K9-E$5)^2+('2_Normalisasi'!L9-F$5)^2)</f>
        <v>1.6444561748830862</v>
      </c>
      <c r="D15" s="42">
        <f>SQRT(('2_Normalisasi'!H9-B$6)^2+('2_Normalisasi'!I9-C$6)^2+('2_Normalisasi'!J9-D$6)^2+('2_Normalisasi'!K9-E$6)^2+('2_Normalisasi'!L9-F$6)^2)</f>
        <v>0</v>
      </c>
      <c r="E15" s="59">
        <f>SQRT(('2_Normalisasi'!H9-B$7)^2+('2_Normalisasi'!I9-C$7)^2+('2_Normalisasi'!J9-D$7)^2+('2_Normalisasi'!K9-E$7)^2+('2_Normalisasi'!L9-F$7)^2)</f>
        <v>1.3921655792325855</v>
      </c>
      <c r="F15" s="60" t="str">
        <f t="shared" si="0"/>
        <v>C2</v>
      </c>
      <c r="G15" s="60" t="str">
        <f t="shared" si="1"/>
        <v>Prioritas Rendah</v>
      </c>
      <c r="H15" s="28">
        <f t="shared" si="2"/>
        <v>0</v>
      </c>
      <c r="I15" s="58" t="s">
        <v>112</v>
      </c>
    </row>
    <row r="16" spans="1:13" ht="21.75" customHeight="1" x14ac:dyDescent="0.25">
      <c r="A16" s="54">
        <f>'2_Normalisasi'!A10</f>
        <v>7</v>
      </c>
      <c r="B16" s="55" t="str">
        <f>'2_Normalisasi'!B10</f>
        <v>Desa Wisata Candirejo</v>
      </c>
      <c r="C16" s="56">
        <f>SQRT(('2_Normalisasi'!H10-B$5)^2+('2_Normalisasi'!I10-C$5)^2+('2_Normalisasi'!J10-D$5)^2+('2_Normalisasi'!K10-E$5)^2+('2_Normalisasi'!L10-F$5)^2)</f>
        <v>1.2467736139510028</v>
      </c>
      <c r="D16" s="42">
        <f>SQRT(('2_Normalisasi'!H10-B$6)^2+('2_Normalisasi'!I10-C$6)^2+('2_Normalisasi'!J10-D$6)^2+('2_Normalisasi'!K10-E$6)^2+('2_Normalisasi'!L10-F$6)^2)</f>
        <v>0.69226881419800446</v>
      </c>
      <c r="E16" s="56">
        <f>SQRT(('2_Normalisasi'!H10-B$7)^2+('2_Normalisasi'!I10-C$7)^2+('2_Normalisasi'!J10-D$7)^2+('2_Normalisasi'!K10-E$7)^2+('2_Normalisasi'!L10-F$7)^2)</f>
        <v>0.87812932482129946</v>
      </c>
      <c r="F16" s="60" t="str">
        <f t="shared" si="0"/>
        <v>C2</v>
      </c>
      <c r="G16" s="60" t="str">
        <f t="shared" si="1"/>
        <v>Prioritas Rendah</v>
      </c>
      <c r="H16" s="28">
        <f t="shared" si="2"/>
        <v>0.69226881419800446</v>
      </c>
      <c r="I16" s="58" t="s">
        <v>113</v>
      </c>
    </row>
    <row r="17" spans="1:9" ht="21.75" customHeight="1" x14ac:dyDescent="0.25">
      <c r="A17" s="20">
        <f>'2_Normalisasi'!A11</f>
        <v>8</v>
      </c>
      <c r="B17" s="29" t="str">
        <f>'2_Normalisasi'!B11</f>
        <v>Desa Wisata Ngargogondo</v>
      </c>
      <c r="C17" s="59">
        <f>SQRT(('2_Normalisasi'!H11-B$5)^2+('2_Normalisasi'!I11-C$5)^2+('2_Normalisasi'!J11-D$5)^2+('2_Normalisasi'!K11-E$5)^2+('2_Normalisasi'!L11-F$5)^2)</f>
        <v>1.8789957424113555</v>
      </c>
      <c r="D17" s="42">
        <f>SQRT(('2_Normalisasi'!H11-B$6)^2+('2_Normalisasi'!I11-C$6)^2+('2_Normalisasi'!J11-D$6)^2+('2_Normalisasi'!K11-E$6)^2+('2_Normalisasi'!L11-F$6)^2)</f>
        <v>0.75461542817811822</v>
      </c>
      <c r="E17" s="59">
        <f>SQRT(('2_Normalisasi'!H11-B$7)^2+('2_Normalisasi'!I11-C$7)^2+('2_Normalisasi'!J11-D$7)^2+('2_Normalisasi'!K11-E$7)^2+('2_Normalisasi'!L11-F$7)^2)</f>
        <v>1.4387735904041488</v>
      </c>
      <c r="F17" s="60" t="str">
        <f t="shared" si="0"/>
        <v>C2</v>
      </c>
      <c r="G17" s="60" t="str">
        <f t="shared" si="1"/>
        <v>Prioritas Rendah</v>
      </c>
      <c r="H17" s="28">
        <f t="shared" si="2"/>
        <v>0.75461542817811822</v>
      </c>
      <c r="I17" s="58" t="s">
        <v>114</v>
      </c>
    </row>
    <row r="18" spans="1:9" ht="21.75" customHeight="1" x14ac:dyDescent="0.25">
      <c r="A18" s="54">
        <f>'2_Normalisasi'!A12</f>
        <v>9</v>
      </c>
      <c r="B18" s="55" t="str">
        <f>'2_Normalisasi'!B12</f>
        <v>Masjid Agung Magelang</v>
      </c>
      <c r="C18" s="56">
        <f>SQRT(('2_Normalisasi'!H12-B$5)^2+('2_Normalisasi'!I12-C$5)^2+('2_Normalisasi'!J12-D$5)^2+('2_Normalisasi'!K12-E$5)^2+('2_Normalisasi'!L12-F$5)^2)</f>
        <v>0.79061333434520598</v>
      </c>
      <c r="D18" s="56">
        <f>SQRT(('2_Normalisasi'!H12-B$6)^2+('2_Normalisasi'!I12-C$6)^2+('2_Normalisasi'!J12-D$6)^2+('2_Normalisasi'!K12-E$6)^2+('2_Normalisasi'!L12-F$6)^2)</f>
        <v>1.4477952586989333</v>
      </c>
      <c r="E18" s="43">
        <f>SQRT(('2_Normalisasi'!H12-B$7)^2+('2_Normalisasi'!I12-C$7)^2+('2_Normalisasi'!J12-D$7)^2+('2_Normalisasi'!K12-E$7)^2+('2_Normalisasi'!L12-F$7)^2)</f>
        <v>0.35600015605489699</v>
      </c>
      <c r="F18" s="32" t="str">
        <f t="shared" si="0"/>
        <v>C3</v>
      </c>
      <c r="G18" s="32" t="str">
        <f t="shared" si="1"/>
        <v>Prioritas Sedang</v>
      </c>
      <c r="H18" s="28">
        <f t="shared" si="2"/>
        <v>0.35600015605489699</v>
      </c>
      <c r="I18" s="58" t="s">
        <v>115</v>
      </c>
    </row>
    <row r="19" spans="1:9" ht="21.75" customHeight="1" x14ac:dyDescent="0.25">
      <c r="A19" s="20">
        <f>'2_Normalisasi'!A13</f>
        <v>10</v>
      </c>
      <c r="B19" s="29" t="str">
        <f>'2_Normalisasi'!B13</f>
        <v>Makam Kyai Raden Santri</v>
      </c>
      <c r="C19" s="59">
        <f>SQRT(('2_Normalisasi'!H13-B$5)^2+('2_Normalisasi'!I13-C$5)^2+('2_Normalisasi'!J13-D$5)^2+('2_Normalisasi'!K13-E$5)^2+('2_Normalisasi'!L13-F$5)^2)</f>
        <v>1.8580904176062047</v>
      </c>
      <c r="D19" s="42">
        <f>SQRT(('2_Normalisasi'!H13-B$6)^2+('2_Normalisasi'!I13-C$6)^2+('2_Normalisasi'!J13-D$6)^2+('2_Normalisasi'!K13-E$6)^2+('2_Normalisasi'!L13-F$6)^2)</f>
        <v>0.91382134164422113</v>
      </c>
      <c r="E19" s="59">
        <f>SQRT(('2_Normalisasi'!H13-B$7)^2+('2_Normalisasi'!I13-C$7)^2+('2_Normalisasi'!J13-D$7)^2+('2_Normalisasi'!K13-E$7)^2+('2_Normalisasi'!L13-F$7)^2)</f>
        <v>1.3663617546039719</v>
      </c>
      <c r="F19" s="60" t="str">
        <f t="shared" si="0"/>
        <v>C2</v>
      </c>
      <c r="G19" s="60" t="str">
        <f t="shared" si="1"/>
        <v>Prioritas Rendah</v>
      </c>
      <c r="H19" s="28">
        <f t="shared" si="2"/>
        <v>0.91382134164422113</v>
      </c>
      <c r="I19" s="58" t="s">
        <v>116</v>
      </c>
    </row>
    <row r="20" spans="1:9" ht="21.75" customHeight="1" x14ac:dyDescent="0.25">
      <c r="A20" s="54">
        <f>'2_Normalisasi'!A14</f>
        <v>11</v>
      </c>
      <c r="B20" s="55" t="str">
        <f>'2_Normalisasi'!B14</f>
        <v>Taman Kyai Langgeng</v>
      </c>
      <c r="C20" s="56">
        <f>SQRT(('2_Normalisasi'!H14-B$5)^2+('2_Normalisasi'!I14-C$5)^2+('2_Normalisasi'!J14-D$5)^2+('2_Normalisasi'!K14-E$5)^2+('2_Normalisasi'!L14-F$5)^2)</f>
        <v>0.63333333333333286</v>
      </c>
      <c r="D20" s="56">
        <f>SQRT(('2_Normalisasi'!H14-B$6)^2+('2_Normalisasi'!I14-C$6)^2+('2_Normalisasi'!J14-D$6)^2+('2_Normalisasi'!K14-E$6)^2+('2_Normalisasi'!L14-F$6)^2)</f>
        <v>1.3921655792325855</v>
      </c>
      <c r="E20" s="43">
        <f>SQRT(('2_Normalisasi'!H14-B$7)^2+('2_Normalisasi'!I14-C$7)^2+('2_Normalisasi'!J14-D$7)^2+('2_Normalisasi'!K14-E$7)^2+('2_Normalisasi'!L14-F$7)^2)</f>
        <v>0</v>
      </c>
      <c r="F20" s="32" t="str">
        <f t="shared" si="0"/>
        <v>C3</v>
      </c>
      <c r="G20" s="32" t="str">
        <f t="shared" si="1"/>
        <v>Prioritas Sedang</v>
      </c>
      <c r="H20" s="28">
        <f t="shared" si="2"/>
        <v>0</v>
      </c>
      <c r="I20" s="58" t="s">
        <v>117</v>
      </c>
    </row>
    <row r="21" spans="1:9" ht="21.75" customHeight="1" x14ac:dyDescent="0.25">
      <c r="A21" s="20">
        <f>'2_Normalisasi'!A15</f>
        <v>12</v>
      </c>
      <c r="B21" s="29" t="str">
        <f>'2_Normalisasi'!B15</f>
        <v>Kebun Teh Ngluwar</v>
      </c>
      <c r="C21" s="59">
        <f>SQRT(('2_Normalisasi'!H15-B$5)^2+('2_Normalisasi'!I15-C$5)^2+('2_Normalisasi'!J15-D$5)^2+('2_Normalisasi'!K15-E$5)^2+('2_Normalisasi'!L15-F$5)^2)</f>
        <v>1.6649157469507112</v>
      </c>
      <c r="D21" s="42">
        <f>SQRT(('2_Normalisasi'!H15-B$6)^2+('2_Normalisasi'!I15-C$6)^2+('2_Normalisasi'!J15-D$6)^2+('2_Normalisasi'!K15-E$6)^2+('2_Normalisasi'!L15-F$6)^2)</f>
        <v>0.43501277120460613</v>
      </c>
      <c r="E21" s="59">
        <f>SQRT(('2_Normalisasi'!H15-B$7)^2+('2_Normalisasi'!I15-C$7)^2+('2_Normalisasi'!J15-D$7)^2+('2_Normalisasi'!K15-E$7)^2+('2_Normalisasi'!L15-F$7)^2)</f>
        <v>1.2878707664634335</v>
      </c>
      <c r="F21" s="60" t="str">
        <f t="shared" si="0"/>
        <v>C2</v>
      </c>
      <c r="G21" s="60" t="str">
        <f t="shared" si="1"/>
        <v>Prioritas Rendah</v>
      </c>
      <c r="H21" s="28">
        <f t="shared" si="2"/>
        <v>0.43501277120460613</v>
      </c>
      <c r="I21" s="58" t="s">
        <v>118</v>
      </c>
    </row>
    <row r="22" spans="1:9" ht="21.75" customHeight="1" x14ac:dyDescent="0.25">
      <c r="A22" s="54">
        <f>'2_Normalisasi'!A16</f>
        <v>13</v>
      </c>
      <c r="B22" s="55" t="str">
        <f>'2_Normalisasi'!B16</f>
        <v>Gunung Merbabu (basecamp)</v>
      </c>
      <c r="C22" s="56">
        <f>SQRT(('2_Normalisasi'!H16-B$5)^2+('2_Normalisasi'!I16-C$5)^2+('2_Normalisasi'!J16-D$5)^2+('2_Normalisasi'!K16-E$5)^2+('2_Normalisasi'!L16-F$5)^2)</f>
        <v>1.6201851746019651</v>
      </c>
      <c r="D22" s="42">
        <f>SQRT(('2_Normalisasi'!H16-B$6)^2+('2_Normalisasi'!I16-C$6)^2+('2_Normalisasi'!J16-D$6)^2+('2_Normalisasi'!K16-E$6)^2+('2_Normalisasi'!L16-F$6)^2)</f>
        <v>0.54012601410329342</v>
      </c>
      <c r="E22" s="56">
        <f>SQRT(('2_Normalisasi'!H16-B$7)^2+('2_Normalisasi'!I16-C$7)^2+('2_Normalisasi'!J16-D$7)^2+('2_Normalisasi'!K16-E$7)^2+('2_Normalisasi'!L16-F$7)^2)</f>
        <v>1.5414639506362486</v>
      </c>
      <c r="F22" s="60" t="str">
        <f t="shared" si="0"/>
        <v>C2</v>
      </c>
      <c r="G22" s="60" t="str">
        <f t="shared" si="1"/>
        <v>Prioritas Rendah</v>
      </c>
      <c r="H22" s="28">
        <f t="shared" si="2"/>
        <v>0.54012601410329342</v>
      </c>
      <c r="I22" s="58" t="s">
        <v>119</v>
      </c>
    </row>
    <row r="23" spans="1:9" ht="21.75" customHeight="1" x14ac:dyDescent="0.25">
      <c r="A23" s="20">
        <f>'2_Normalisasi'!A17</f>
        <v>14</v>
      </c>
      <c r="B23" s="29" t="str">
        <f>'2_Normalisasi'!B17</f>
        <v>Sunrise Puthuk Mongkrong</v>
      </c>
      <c r="C23" s="59">
        <f>SQRT(('2_Normalisasi'!H17-B$5)^2+('2_Normalisasi'!I17-C$5)^2+('2_Normalisasi'!J17-D$5)^2+('2_Normalisasi'!K17-E$5)^2+('2_Normalisasi'!L17-F$5)^2)</f>
        <v>1.8032570840318669</v>
      </c>
      <c r="D23" s="42">
        <f>SQRT(('2_Normalisasi'!H17-B$6)^2+('2_Normalisasi'!I17-C$6)^2+('2_Normalisasi'!J17-D$6)^2+('2_Normalisasi'!K17-E$6)^2+('2_Normalisasi'!L17-F$6)^2)</f>
        <v>0.40620192023179819</v>
      </c>
      <c r="E23" s="59">
        <f>SQRT(('2_Normalisasi'!H17-B$7)^2+('2_Normalisasi'!I17-C$7)^2+('2_Normalisasi'!J17-D$7)^2+('2_Normalisasi'!K17-E$7)^2+('2_Normalisasi'!L17-F$7)^2)</f>
        <v>1.6296088487732263</v>
      </c>
      <c r="F23" s="60" t="str">
        <f t="shared" si="0"/>
        <v>C2</v>
      </c>
      <c r="G23" s="60" t="str">
        <f t="shared" si="1"/>
        <v>Prioritas Rendah</v>
      </c>
      <c r="H23" s="28">
        <f t="shared" si="2"/>
        <v>0.40620192023179819</v>
      </c>
      <c r="I23" s="58" t="s">
        <v>120</v>
      </c>
    </row>
    <row r="24" spans="1:9" ht="21.75" customHeight="1" x14ac:dyDescent="0.25">
      <c r="A24" s="54">
        <f>'2_Normalisasi'!A18</f>
        <v>15</v>
      </c>
      <c r="B24" s="55" t="str">
        <f>'2_Normalisasi'!B18</f>
        <v>Museum Diponegoro</v>
      </c>
      <c r="C24" s="56">
        <f>SQRT(('2_Normalisasi'!H18-B$5)^2+('2_Normalisasi'!I18-C$5)^2+('2_Normalisasi'!J18-D$5)^2+('2_Normalisasi'!K18-E$5)^2+('2_Normalisasi'!L18-F$5)^2)</f>
        <v>1.4320003491619691</v>
      </c>
      <c r="D24" s="56">
        <f>SQRT(('2_Normalisasi'!H18-B$6)^2+('2_Normalisasi'!I18-C$6)^2+('2_Normalisasi'!J18-D$6)^2+('2_Normalisasi'!K18-E$6)^2+('2_Normalisasi'!L18-F$6)^2)</f>
        <v>1.2163241527012627</v>
      </c>
      <c r="E24" s="43">
        <f>SQRT(('2_Normalisasi'!H18-B$7)^2+('2_Normalisasi'!I18-C$7)^2+('2_Normalisasi'!J18-D$7)^2+('2_Normalisasi'!K18-E$7)^2+('2_Normalisasi'!L18-F$7)^2)</f>
        <v>0.86606549662507926</v>
      </c>
      <c r="F24" s="32" t="str">
        <f t="shared" si="0"/>
        <v>C3</v>
      </c>
      <c r="G24" s="32" t="str">
        <f t="shared" si="1"/>
        <v>Prioritas Sedang</v>
      </c>
      <c r="H24" s="28">
        <f t="shared" si="2"/>
        <v>0.86606549662507926</v>
      </c>
      <c r="I24" s="58" t="s">
        <v>121</v>
      </c>
    </row>
  </sheetData>
  <mergeCells count="3">
    <mergeCell ref="A1:M1"/>
    <mergeCell ref="A2:M2"/>
    <mergeCell ref="A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showGridLines="0" zoomScaleNormal="100" workbookViewId="0"/>
  </sheetViews>
  <sheetFormatPr defaultColWidth="8.7109375" defaultRowHeight="15" x14ac:dyDescent="0.25"/>
  <cols>
    <col min="1" max="1" width="5" style="15" customWidth="1"/>
    <col min="2" max="2" width="30" style="15" customWidth="1"/>
    <col min="3" max="5" width="14" style="15" customWidth="1"/>
    <col min="6" max="6" width="10" style="15" customWidth="1"/>
    <col min="7" max="7" width="18" style="15" customWidth="1"/>
    <col min="8" max="8" width="12" style="15" customWidth="1"/>
    <col min="9" max="13" width="14" style="15" customWidth="1"/>
  </cols>
  <sheetData>
    <row r="1" spans="1:13" ht="31.5" customHeight="1" x14ac:dyDescent="0.25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75" customHeight="1" x14ac:dyDescent="0.25">
      <c r="A2" s="4" t="s">
        <v>94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8" customHeight="1" x14ac:dyDescent="0.25">
      <c r="A3" s="2" t="s">
        <v>123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8" customHeight="1" x14ac:dyDescent="0.25">
      <c r="A4" s="45" t="s">
        <v>96</v>
      </c>
      <c r="B4" s="45" t="s">
        <v>87</v>
      </c>
      <c r="C4" s="45" t="s">
        <v>88</v>
      </c>
      <c r="D4" s="45" t="s">
        <v>89</v>
      </c>
      <c r="E4" s="45" t="s">
        <v>90</v>
      </c>
      <c r="F4" s="45" t="s">
        <v>91</v>
      </c>
    </row>
    <row r="5" spans="1:13" ht="18" customHeight="1" x14ac:dyDescent="0.25">
      <c r="A5" s="46" t="s">
        <v>97</v>
      </c>
      <c r="B5" s="47">
        <f>AVERAGEIF('4_Iterasi_1'!F10:F24,"C1",'2_Normalisasi'!H4:H18)</f>
        <v>1</v>
      </c>
      <c r="C5" s="47">
        <f>AVERAGEIF('4_Iterasi_1'!F10:F24,"C1",'2_Normalisasi'!I4:I18)</f>
        <v>1</v>
      </c>
      <c r="D5" s="47">
        <f>AVERAGEIF('4_Iterasi_1'!F10:F24,"C1",'2_Normalisasi'!J4:J18)</f>
        <v>1</v>
      </c>
      <c r="E5" s="47">
        <f>AVERAGEIF('4_Iterasi_1'!F10:F24,"C1",'2_Normalisasi'!K4:K18)</f>
        <v>1</v>
      </c>
      <c r="F5" s="47">
        <f>AVERAGEIF('4_Iterasi_1'!F10:F24,"C1",'2_Normalisasi'!L4:L18)</f>
        <v>1</v>
      </c>
    </row>
    <row r="6" spans="1:13" ht="18" customHeight="1" x14ac:dyDescent="0.25">
      <c r="A6" s="48" t="s">
        <v>98</v>
      </c>
      <c r="B6" s="49">
        <f>AVERAGEIF('4_Iterasi_1'!F10:F24,"C2",'2_Normalisasi'!H4:H18)</f>
        <v>0.48148148148148157</v>
      </c>
      <c r="C6" s="49">
        <f>AVERAGEIF('4_Iterasi_1'!F10:F24,"C2",'2_Normalisasi'!I4:I18)</f>
        <v>0.25</v>
      </c>
      <c r="D6" s="49">
        <f>AVERAGEIF('4_Iterasi_1'!F10:F24,"C2",'2_Normalisasi'!J4:J18)</f>
        <v>0.33333333333333331</v>
      </c>
      <c r="E6" s="49">
        <f>AVERAGEIF('4_Iterasi_1'!F10:F24,"C2",'2_Normalisasi'!K4:K18)</f>
        <v>0.22222222222222221</v>
      </c>
      <c r="F6" s="49">
        <f>AVERAGEIF('4_Iterasi_1'!F10:F24,"C2",'2_Normalisasi'!L4:L18)</f>
        <v>0.41666666666666674</v>
      </c>
    </row>
    <row r="7" spans="1:13" ht="18" customHeight="1" x14ac:dyDescent="0.25">
      <c r="A7" s="50" t="s">
        <v>99</v>
      </c>
      <c r="B7" s="51">
        <f>AVERAGEIF('4_Iterasi_1'!F10:F24,"C3",'2_Normalisasi'!H4:H18)</f>
        <v>0.53333333333333333</v>
      </c>
      <c r="C7" s="51">
        <f>AVERAGEIF('4_Iterasi_1'!F10:F24,"C3",'2_Normalisasi'!I4:I18)</f>
        <v>0.8</v>
      </c>
      <c r="D7" s="51">
        <f>AVERAGEIF('4_Iterasi_1'!F10:F24,"C3",'2_Normalisasi'!J4:J18)</f>
        <v>0.9</v>
      </c>
      <c r="E7" s="51">
        <f>AVERAGEIF('4_Iterasi_1'!F10:F24,"C3",'2_Normalisasi'!K4:K18)</f>
        <v>0.67999999999999994</v>
      </c>
      <c r="F7" s="51">
        <f>AVERAGEIF('4_Iterasi_1'!F10:F24,"C3",'2_Normalisasi'!L4:L18)</f>
        <v>0.52500000000000002</v>
      </c>
    </row>
    <row r="9" spans="1:13" ht="36" customHeight="1" x14ac:dyDescent="0.25">
      <c r="A9" s="16" t="s">
        <v>36</v>
      </c>
      <c r="B9" s="16" t="s">
        <v>37</v>
      </c>
      <c r="C9" s="38" t="s">
        <v>100</v>
      </c>
      <c r="D9" s="39" t="s">
        <v>101</v>
      </c>
      <c r="E9" s="40" t="s">
        <v>102</v>
      </c>
      <c r="F9" s="52" t="s">
        <v>103</v>
      </c>
      <c r="G9" s="52" t="s">
        <v>104</v>
      </c>
      <c r="H9" s="52" t="s">
        <v>105</v>
      </c>
      <c r="I9" s="53" t="s">
        <v>106</v>
      </c>
      <c r="J9" s="53"/>
      <c r="K9" s="53"/>
      <c r="L9" s="53"/>
      <c r="M9" s="53"/>
    </row>
    <row r="10" spans="1:13" ht="21.75" customHeight="1" x14ac:dyDescent="0.25">
      <c r="A10" s="54">
        <f>'2_Normalisasi'!A4</f>
        <v>1</v>
      </c>
      <c r="B10" s="55" t="str">
        <f>'2_Normalisasi'!B4</f>
        <v>Candi Borobudur</v>
      </c>
      <c r="C10" s="41">
        <f>SQRT(('2_Normalisasi'!H4-B$5)^2+('2_Normalisasi'!I4-C$5)^2+('2_Normalisasi'!J4-D$5)^2+('2_Normalisasi'!K4-E$5)^2+('2_Normalisasi'!L4-F$5)^2)</f>
        <v>0</v>
      </c>
      <c r="D10" s="56">
        <f>SQRT(('2_Normalisasi'!H4-B$6)^2+('2_Normalisasi'!I4-C$6)^2+('2_Normalisasi'!J4-D$6)^2+('2_Normalisasi'!K4-E$6)^2+('2_Normalisasi'!L4-F$6)^2)</f>
        <v>1.4903093463686656</v>
      </c>
      <c r="E10" s="56">
        <f>SQRT(('2_Normalisasi'!H4-B$7)^2+('2_Normalisasi'!I4-C$7)^2+('2_Normalisasi'!J4-D$7)^2+('2_Normalisasi'!K4-E$7)^2+('2_Normalisasi'!L4-F$7)^2)</f>
        <v>0.77188261917067269</v>
      </c>
      <c r="F10" s="57" t="str">
        <f t="shared" ref="F10:F24" si="0">IF(AND(C10&lt;=D10,C10&lt;=E10),"C1",IF(D10&lt;=E10,"C2","C3"))</f>
        <v>C1</v>
      </c>
      <c r="G10" s="57" t="str">
        <f t="shared" ref="G10:G24" si="1">IF(F10="C1","Prioritas Tinggi",IF(F10="C2","Prioritas Rendah","Prioritas Sedang"))</f>
        <v>Prioritas Tinggi</v>
      </c>
      <c r="H10" s="28">
        <f t="shared" ref="H10:H24" si="2">MIN(C10,D10,E10)</f>
        <v>0</v>
      </c>
      <c r="I10" s="58" t="s">
        <v>107</v>
      </c>
    </row>
    <row r="11" spans="1:13" ht="21.75" customHeight="1" x14ac:dyDescent="0.25">
      <c r="A11" s="20">
        <f>'2_Normalisasi'!A5</f>
        <v>2</v>
      </c>
      <c r="B11" s="29" t="str">
        <f>'2_Normalisasi'!B5</f>
        <v>Candi Mendut</v>
      </c>
      <c r="C11" s="59">
        <f>SQRT(('2_Normalisasi'!H5-B$5)^2+('2_Normalisasi'!I5-C$5)^2+('2_Normalisasi'!J5-D$5)^2+('2_Normalisasi'!K5-E$5)^2+('2_Normalisasi'!L5-F$5)^2)</f>
        <v>0.73262276180249208</v>
      </c>
      <c r="D11" s="59">
        <f>SQRT(('2_Normalisasi'!H5-B$6)^2+('2_Normalisasi'!I5-C$6)^2+('2_Normalisasi'!J5-D$6)^2+('2_Normalisasi'!K5-E$6)^2+('2_Normalisasi'!L5-F$6)^2)</f>
        <v>0.80251074203631456</v>
      </c>
      <c r="E11" s="43">
        <f>SQRT(('2_Normalisasi'!H5-B$7)^2+('2_Normalisasi'!I5-C$7)^2+('2_Normalisasi'!J5-D$7)^2+('2_Normalisasi'!K5-E$7)^2+('2_Normalisasi'!L5-F$7)^2)</f>
        <v>0.24326483054025255</v>
      </c>
      <c r="F11" s="32" t="str">
        <f t="shared" si="0"/>
        <v>C3</v>
      </c>
      <c r="G11" s="32" t="str">
        <f t="shared" si="1"/>
        <v>Prioritas Sedang</v>
      </c>
      <c r="H11" s="28">
        <f t="shared" si="2"/>
        <v>0.24326483054025255</v>
      </c>
      <c r="I11" s="58" t="s">
        <v>108</v>
      </c>
    </row>
    <row r="12" spans="1:13" ht="21.75" customHeight="1" x14ac:dyDescent="0.25">
      <c r="A12" s="54">
        <f>'2_Normalisasi'!A6</f>
        <v>3</v>
      </c>
      <c r="B12" s="55" t="str">
        <f>'2_Normalisasi'!B6</f>
        <v>Candi Pawon</v>
      </c>
      <c r="C12" s="56">
        <f>SQRT(('2_Normalisasi'!H6-B$5)^2+('2_Normalisasi'!I6-C$5)^2+('2_Normalisasi'!J6-D$5)^2+('2_Normalisasi'!K6-E$5)^2+('2_Normalisasi'!L6-F$5)^2)</f>
        <v>1.3663617546039717</v>
      </c>
      <c r="D12" s="42">
        <f>SQRT(('2_Normalisasi'!H6-B$6)^2+('2_Normalisasi'!I6-C$6)^2+('2_Normalisasi'!J6-D$6)^2+('2_Normalisasi'!K6-E$6)^2+('2_Normalisasi'!L6-F$6)^2)</f>
        <v>0.41425640324186436</v>
      </c>
      <c r="E12" s="56">
        <f>SQRT(('2_Normalisasi'!H6-B$7)^2+('2_Normalisasi'!I6-C$7)^2+('2_Normalisasi'!J6-D$7)^2+('2_Normalisasi'!K6-E$7)^2+('2_Normalisasi'!L6-F$7)^2)</f>
        <v>0.66635200907628389</v>
      </c>
      <c r="F12" s="60" t="str">
        <f t="shared" si="0"/>
        <v>C2</v>
      </c>
      <c r="G12" s="60" t="str">
        <f t="shared" si="1"/>
        <v>Prioritas Rendah</v>
      </c>
      <c r="H12" s="28">
        <f t="shared" si="2"/>
        <v>0.41425640324186436</v>
      </c>
      <c r="I12" s="58" t="s">
        <v>109</v>
      </c>
    </row>
    <row r="13" spans="1:13" ht="21.75" customHeight="1" x14ac:dyDescent="0.25">
      <c r="A13" s="20">
        <f>'2_Normalisasi'!A7</f>
        <v>4</v>
      </c>
      <c r="B13" s="29" t="str">
        <f>'2_Normalisasi'!B7</f>
        <v>Ketep Pass</v>
      </c>
      <c r="C13" s="59">
        <f>SQRT(('2_Normalisasi'!H7-B$5)^2+('2_Normalisasi'!I7-C$5)^2+('2_Normalisasi'!J7-D$5)^2+('2_Normalisasi'!K7-E$5)^2+('2_Normalisasi'!L7-F$5)^2)</f>
        <v>0.68738635424337613</v>
      </c>
      <c r="D13" s="59">
        <f>SQRT(('2_Normalisasi'!H7-B$6)^2+('2_Normalisasi'!I7-C$6)^2+('2_Normalisasi'!J7-D$6)^2+('2_Normalisasi'!K7-E$6)^2+('2_Normalisasi'!L7-F$6)^2)</f>
        <v>1.0147083615428181</v>
      </c>
      <c r="E13" s="43">
        <f>SQRT(('2_Normalisasi'!H7-B$7)^2+('2_Normalisasi'!I7-C$7)^2+('2_Normalisasi'!J7-D$7)^2+('2_Normalisasi'!K7-E$7)^2+('2_Normalisasi'!L7-F$7)^2)</f>
        <v>0.6122113832474676</v>
      </c>
      <c r="F13" s="32" t="str">
        <f t="shared" si="0"/>
        <v>C3</v>
      </c>
      <c r="G13" s="32" t="str">
        <f t="shared" si="1"/>
        <v>Prioritas Sedang</v>
      </c>
      <c r="H13" s="28">
        <f t="shared" si="2"/>
        <v>0.6122113832474676</v>
      </c>
      <c r="I13" s="58" t="s">
        <v>110</v>
      </c>
    </row>
    <row r="14" spans="1:13" ht="21.75" customHeight="1" x14ac:dyDescent="0.25">
      <c r="A14" s="54">
        <f>'2_Normalisasi'!A8</f>
        <v>5</v>
      </c>
      <c r="B14" s="55" t="str">
        <f>'2_Normalisasi'!B8</f>
        <v>Punthuk Setumbu</v>
      </c>
      <c r="C14" s="56">
        <f>SQRT(('2_Normalisasi'!H8-B$5)^2+('2_Normalisasi'!I8-C$5)^2+('2_Normalisasi'!J8-D$5)^2+('2_Normalisasi'!K8-E$5)^2+('2_Normalisasi'!L8-F$5)^2)</f>
        <v>1.0003124511871277</v>
      </c>
      <c r="D14" s="42">
        <f>SQRT(('2_Normalisasi'!H8-B$6)^2+('2_Normalisasi'!I8-C$6)^2+('2_Normalisasi'!J8-D$6)^2+('2_Normalisasi'!K8-E$6)^2+('2_Normalisasi'!L8-F$6)^2)</f>
        <v>0.82713175968149111</v>
      </c>
      <c r="E14" s="56">
        <f>SQRT(('2_Normalisasi'!H8-B$7)^2+('2_Normalisasi'!I8-C$7)^2+('2_Normalisasi'!J8-D$7)^2+('2_Normalisasi'!K8-E$7)^2+('2_Normalisasi'!L8-F$7)^2)</f>
        <v>0.86236754216388389</v>
      </c>
      <c r="F14" s="60" t="str">
        <f t="shared" si="0"/>
        <v>C2</v>
      </c>
      <c r="G14" s="60" t="str">
        <f t="shared" si="1"/>
        <v>Prioritas Rendah</v>
      </c>
      <c r="H14" s="28">
        <f t="shared" si="2"/>
        <v>0.82713175968149111</v>
      </c>
      <c r="I14" s="58" t="s">
        <v>111</v>
      </c>
    </row>
    <row r="15" spans="1:13" ht="21.75" customHeight="1" x14ac:dyDescent="0.25">
      <c r="A15" s="20">
        <f>'2_Normalisasi'!A9</f>
        <v>6</v>
      </c>
      <c r="B15" s="29" t="str">
        <f>'2_Normalisasi'!B9</f>
        <v>Air Terjun Kedung Kayang</v>
      </c>
      <c r="C15" s="59">
        <f>SQRT(('2_Normalisasi'!H9-B$5)^2+('2_Normalisasi'!I9-C$5)^2+('2_Normalisasi'!J9-D$5)^2+('2_Normalisasi'!K9-E$5)^2+('2_Normalisasi'!L9-F$5)^2)</f>
        <v>1.6444561748830862</v>
      </c>
      <c r="D15" s="42">
        <f>SQRT(('2_Normalisasi'!H9-B$6)^2+('2_Normalisasi'!I9-C$6)^2+('2_Normalisasi'!J9-D$6)^2+('2_Normalisasi'!K9-E$6)^2+('2_Normalisasi'!L9-F$6)^2)</f>
        <v>0.32552716557627059</v>
      </c>
      <c r="E15" s="59">
        <f>SQRT(('2_Normalisasi'!H9-B$7)^2+('2_Normalisasi'!I9-C$7)^2+('2_Normalisasi'!J9-D$7)^2+('2_Normalisasi'!K9-E$7)^2+('2_Normalisasi'!L9-F$7)^2)</f>
        <v>1.1546331788831368</v>
      </c>
      <c r="F15" s="60" t="str">
        <f t="shared" si="0"/>
        <v>C2</v>
      </c>
      <c r="G15" s="60" t="str">
        <f t="shared" si="1"/>
        <v>Prioritas Rendah</v>
      </c>
      <c r="H15" s="28">
        <f t="shared" si="2"/>
        <v>0.32552716557627059</v>
      </c>
      <c r="I15" s="58" t="s">
        <v>112</v>
      </c>
    </row>
    <row r="16" spans="1:13" ht="21.75" customHeight="1" x14ac:dyDescent="0.25">
      <c r="A16" s="54">
        <f>'2_Normalisasi'!A10</f>
        <v>7</v>
      </c>
      <c r="B16" s="55" t="str">
        <f>'2_Normalisasi'!B10</f>
        <v>Desa Wisata Candirejo</v>
      </c>
      <c r="C16" s="56">
        <f>SQRT(('2_Normalisasi'!H10-B$5)^2+('2_Normalisasi'!I10-C$5)^2+('2_Normalisasi'!J10-D$5)^2+('2_Normalisasi'!K10-E$5)^2+('2_Normalisasi'!L10-F$5)^2)</f>
        <v>1.2467736139510028</v>
      </c>
      <c r="D16" s="42">
        <f>SQRT(('2_Normalisasi'!H10-B$6)^2+('2_Normalisasi'!I10-C$6)^2+('2_Normalisasi'!J10-D$6)^2+('2_Normalisasi'!K10-E$6)^2+('2_Normalisasi'!L10-F$6)^2)</f>
        <v>0.38829761046593236</v>
      </c>
      <c r="E16" s="56">
        <f>SQRT(('2_Normalisasi'!H10-B$7)^2+('2_Normalisasi'!I10-C$7)^2+('2_Normalisasi'!J10-D$7)^2+('2_Normalisasi'!K10-E$7)^2+('2_Normalisasi'!L10-F$7)^2)</f>
        <v>0.60747427929090136</v>
      </c>
      <c r="F16" s="60" t="str">
        <f t="shared" si="0"/>
        <v>C2</v>
      </c>
      <c r="G16" s="60" t="str">
        <f t="shared" si="1"/>
        <v>Prioritas Rendah</v>
      </c>
      <c r="H16" s="28">
        <f t="shared" si="2"/>
        <v>0.38829761046593236</v>
      </c>
      <c r="I16" s="58" t="s">
        <v>113</v>
      </c>
    </row>
    <row r="17" spans="1:9" ht="21.75" customHeight="1" x14ac:dyDescent="0.25">
      <c r="A17" s="20">
        <f>'2_Normalisasi'!A11</f>
        <v>8</v>
      </c>
      <c r="B17" s="29" t="str">
        <f>'2_Normalisasi'!B11</f>
        <v>Desa Wisata Ngargogondo</v>
      </c>
      <c r="C17" s="59">
        <f>SQRT(('2_Normalisasi'!H11-B$5)^2+('2_Normalisasi'!I11-C$5)^2+('2_Normalisasi'!J11-D$5)^2+('2_Normalisasi'!K11-E$5)^2+('2_Normalisasi'!L11-F$5)^2)</f>
        <v>1.8789957424113555</v>
      </c>
      <c r="D17" s="42">
        <f>SQRT(('2_Normalisasi'!H11-B$6)^2+('2_Normalisasi'!I11-C$6)^2+('2_Normalisasi'!J11-D$6)^2+('2_Normalisasi'!K11-E$6)^2+('2_Normalisasi'!L11-F$6)^2)</f>
        <v>0.56950165325395263</v>
      </c>
      <c r="E17" s="59">
        <f>SQRT(('2_Normalisasi'!H11-B$7)^2+('2_Normalisasi'!I11-C$7)^2+('2_Normalisasi'!J11-D$7)^2+('2_Normalisasi'!K11-E$7)^2+('2_Normalisasi'!L11-F$7)^2)</f>
        <v>1.1831502205740592</v>
      </c>
      <c r="F17" s="60" t="str">
        <f t="shared" si="0"/>
        <v>C2</v>
      </c>
      <c r="G17" s="60" t="str">
        <f t="shared" si="1"/>
        <v>Prioritas Rendah</v>
      </c>
      <c r="H17" s="28">
        <f t="shared" si="2"/>
        <v>0.56950165325395263</v>
      </c>
      <c r="I17" s="58" t="s">
        <v>114</v>
      </c>
    </row>
    <row r="18" spans="1:9" ht="21.75" customHeight="1" x14ac:dyDescent="0.25">
      <c r="A18" s="54">
        <f>'2_Normalisasi'!A12</f>
        <v>9</v>
      </c>
      <c r="B18" s="55" t="str">
        <f>'2_Normalisasi'!B12</f>
        <v>Masjid Agung Magelang</v>
      </c>
      <c r="C18" s="56">
        <f>SQRT(('2_Normalisasi'!H12-B$5)^2+('2_Normalisasi'!I12-C$5)^2+('2_Normalisasi'!J12-D$5)^2+('2_Normalisasi'!K12-E$5)^2+('2_Normalisasi'!L12-F$5)^2)</f>
        <v>0.79061333434520598</v>
      </c>
      <c r="D18" s="56">
        <f>SQRT(('2_Normalisasi'!H12-B$6)^2+('2_Normalisasi'!I12-C$6)^2+('2_Normalisasi'!J12-D$6)^2+('2_Normalisasi'!K12-E$6)^2+('2_Normalisasi'!L12-F$6)^2)</f>
        <v>1.1858002599577111</v>
      </c>
      <c r="E18" s="43">
        <f>SQRT(('2_Normalisasi'!H12-B$7)^2+('2_Normalisasi'!I12-C$7)^2+('2_Normalisasi'!J12-D$7)^2+('2_Normalisasi'!K12-E$7)^2+('2_Normalisasi'!L12-F$7)^2)</f>
        <v>0.33823069050575533</v>
      </c>
      <c r="F18" s="32" t="str">
        <f t="shared" si="0"/>
        <v>C3</v>
      </c>
      <c r="G18" s="32" t="str">
        <f t="shared" si="1"/>
        <v>Prioritas Sedang</v>
      </c>
      <c r="H18" s="28">
        <f t="shared" si="2"/>
        <v>0.33823069050575533</v>
      </c>
      <c r="I18" s="58" t="s">
        <v>115</v>
      </c>
    </row>
    <row r="19" spans="1:9" ht="21.75" customHeight="1" x14ac:dyDescent="0.25">
      <c r="A19" s="20">
        <f>'2_Normalisasi'!A13</f>
        <v>10</v>
      </c>
      <c r="B19" s="29" t="str">
        <f>'2_Normalisasi'!B13</f>
        <v>Makam Kyai Raden Santri</v>
      </c>
      <c r="C19" s="59">
        <f>SQRT(('2_Normalisasi'!H13-B$5)^2+('2_Normalisasi'!I13-C$5)^2+('2_Normalisasi'!J13-D$5)^2+('2_Normalisasi'!K13-E$5)^2+('2_Normalisasi'!L13-F$5)^2)</f>
        <v>1.8580904176062047</v>
      </c>
      <c r="D19" s="42">
        <f>SQRT(('2_Normalisasi'!H13-B$6)^2+('2_Normalisasi'!I13-C$6)^2+('2_Normalisasi'!J13-D$6)^2+('2_Normalisasi'!K13-E$6)^2+('2_Normalisasi'!L13-F$6)^2)</f>
        <v>0.68947356709713803</v>
      </c>
      <c r="E19" s="59">
        <f>SQRT(('2_Normalisasi'!H13-B$7)^2+('2_Normalisasi'!I13-C$7)^2+('2_Normalisasi'!J13-D$7)^2+('2_Normalisasi'!K13-E$7)^2+('2_Normalisasi'!L13-F$7)^2)</f>
        <v>1.1414768698683493</v>
      </c>
      <c r="F19" s="60" t="str">
        <f t="shared" si="0"/>
        <v>C2</v>
      </c>
      <c r="G19" s="60" t="str">
        <f t="shared" si="1"/>
        <v>Prioritas Rendah</v>
      </c>
      <c r="H19" s="28">
        <f t="shared" si="2"/>
        <v>0.68947356709713803</v>
      </c>
      <c r="I19" s="58" t="s">
        <v>116</v>
      </c>
    </row>
    <row r="20" spans="1:9" ht="21.75" customHeight="1" x14ac:dyDescent="0.25">
      <c r="A20" s="54">
        <f>'2_Normalisasi'!A14</f>
        <v>11</v>
      </c>
      <c r="B20" s="55" t="str">
        <f>'2_Normalisasi'!B14</f>
        <v>Taman Kyai Langgeng</v>
      </c>
      <c r="C20" s="56">
        <f>SQRT(('2_Normalisasi'!H14-B$5)^2+('2_Normalisasi'!I14-C$5)^2+('2_Normalisasi'!J14-D$5)^2+('2_Normalisasi'!K14-E$5)^2+('2_Normalisasi'!L14-F$5)^2)</f>
        <v>0.63333333333333286</v>
      </c>
      <c r="D20" s="56">
        <f>SQRT(('2_Normalisasi'!H14-B$6)^2+('2_Normalisasi'!I14-C$6)^2+('2_Normalisasi'!J14-D$6)^2+('2_Normalisasi'!K14-E$6)^2+('2_Normalisasi'!L14-F$6)^2)</f>
        <v>1.1755890447749109</v>
      </c>
      <c r="E20" s="43">
        <f>SQRT(('2_Normalisasi'!H14-B$7)^2+('2_Normalisasi'!I14-C$7)^2+('2_Normalisasi'!J14-D$7)^2+('2_Normalisasi'!K14-E$7)^2+('2_Normalisasi'!L14-F$7)^2)</f>
        <v>0.28775471808082964</v>
      </c>
      <c r="F20" s="32" t="str">
        <f t="shared" si="0"/>
        <v>C3</v>
      </c>
      <c r="G20" s="32" t="str">
        <f t="shared" si="1"/>
        <v>Prioritas Sedang</v>
      </c>
      <c r="H20" s="28">
        <f t="shared" si="2"/>
        <v>0.28775471808082964</v>
      </c>
      <c r="I20" s="58" t="s">
        <v>117</v>
      </c>
    </row>
    <row r="21" spans="1:9" ht="21.75" customHeight="1" x14ac:dyDescent="0.25">
      <c r="A21" s="20">
        <f>'2_Normalisasi'!A15</f>
        <v>12</v>
      </c>
      <c r="B21" s="29" t="str">
        <f>'2_Normalisasi'!B15</f>
        <v>Kebun Teh Ngluwar</v>
      </c>
      <c r="C21" s="59">
        <f>SQRT(('2_Normalisasi'!H15-B$5)^2+('2_Normalisasi'!I15-C$5)^2+('2_Normalisasi'!J15-D$5)^2+('2_Normalisasi'!K15-E$5)^2+('2_Normalisasi'!L15-F$5)^2)</f>
        <v>1.6649157469507112</v>
      </c>
      <c r="D21" s="42">
        <f>SQRT(('2_Normalisasi'!H15-B$6)^2+('2_Normalisasi'!I15-C$6)^2+('2_Normalisasi'!J15-D$6)^2+('2_Normalisasi'!K15-E$6)^2+('2_Normalisasi'!L15-F$6)^2)</f>
        <v>0.23908978058972252</v>
      </c>
      <c r="E21" s="59">
        <f>SQRT(('2_Normalisasi'!H15-B$7)^2+('2_Normalisasi'!I15-C$7)^2+('2_Normalisasi'!J15-D$7)^2+('2_Normalisasi'!K15-E$7)^2+('2_Normalisasi'!L15-F$7)^2)</f>
        <v>1.0349033771323775</v>
      </c>
      <c r="F21" s="60" t="str">
        <f t="shared" si="0"/>
        <v>C2</v>
      </c>
      <c r="G21" s="60" t="str">
        <f t="shared" si="1"/>
        <v>Prioritas Rendah</v>
      </c>
      <c r="H21" s="28">
        <f t="shared" si="2"/>
        <v>0.23908978058972252</v>
      </c>
      <c r="I21" s="58" t="s">
        <v>118</v>
      </c>
    </row>
    <row r="22" spans="1:9" ht="21.75" customHeight="1" x14ac:dyDescent="0.25">
      <c r="A22" s="54">
        <f>'2_Normalisasi'!A16</f>
        <v>13</v>
      </c>
      <c r="B22" s="55" t="str">
        <f>'2_Normalisasi'!B16</f>
        <v>Gunung Merbabu (basecamp)</v>
      </c>
      <c r="C22" s="56">
        <f>SQRT(('2_Normalisasi'!H16-B$5)^2+('2_Normalisasi'!I16-C$5)^2+('2_Normalisasi'!J16-D$5)^2+('2_Normalisasi'!K16-E$5)^2+('2_Normalisasi'!L16-F$5)^2)</f>
        <v>1.6201851746019651</v>
      </c>
      <c r="D22" s="42">
        <f>SQRT(('2_Normalisasi'!H16-B$6)^2+('2_Normalisasi'!I16-C$6)^2+('2_Normalisasi'!J16-D$6)^2+('2_Normalisasi'!K16-E$6)^2+('2_Normalisasi'!L16-F$6)^2)</f>
        <v>0.7062575490935139</v>
      </c>
      <c r="E22" s="56">
        <f>SQRT(('2_Normalisasi'!H16-B$7)^2+('2_Normalisasi'!I16-C$7)^2+('2_Normalisasi'!J16-D$7)^2+('2_Normalisasi'!K16-E$7)^2+('2_Normalisasi'!L16-F$7)^2)</f>
        <v>1.3391425531950576</v>
      </c>
      <c r="F22" s="60" t="str">
        <f t="shared" si="0"/>
        <v>C2</v>
      </c>
      <c r="G22" s="60" t="str">
        <f t="shared" si="1"/>
        <v>Prioritas Rendah</v>
      </c>
      <c r="H22" s="28">
        <f t="shared" si="2"/>
        <v>0.7062575490935139</v>
      </c>
      <c r="I22" s="58" t="s">
        <v>119</v>
      </c>
    </row>
    <row r="23" spans="1:9" ht="21.75" customHeight="1" x14ac:dyDescent="0.25">
      <c r="A23" s="20">
        <f>'2_Normalisasi'!A17</f>
        <v>14</v>
      </c>
      <c r="B23" s="29" t="str">
        <f>'2_Normalisasi'!B17</f>
        <v>Sunrise Puthuk Mongkrong</v>
      </c>
      <c r="C23" s="59">
        <f>SQRT(('2_Normalisasi'!H17-B$5)^2+('2_Normalisasi'!I17-C$5)^2+('2_Normalisasi'!J17-D$5)^2+('2_Normalisasi'!K17-E$5)^2+('2_Normalisasi'!L17-F$5)^2)</f>
        <v>1.8032570840318669</v>
      </c>
      <c r="D23" s="42">
        <f>SQRT(('2_Normalisasi'!H17-B$6)^2+('2_Normalisasi'!I17-C$6)^2+('2_Normalisasi'!J17-D$6)^2+('2_Normalisasi'!K17-E$6)^2+('2_Normalisasi'!L17-F$6)^2)</f>
        <v>0.54835222052102872</v>
      </c>
      <c r="E23" s="59">
        <f>SQRT(('2_Normalisasi'!H17-B$7)^2+('2_Normalisasi'!I17-C$7)^2+('2_Normalisasi'!J17-D$7)^2+('2_Normalisasi'!K17-E$7)^2+('2_Normalisasi'!L17-F$7)^2)</f>
        <v>1.3929026447594168</v>
      </c>
      <c r="F23" s="60" t="str">
        <f t="shared" si="0"/>
        <v>C2</v>
      </c>
      <c r="G23" s="60" t="str">
        <f t="shared" si="1"/>
        <v>Prioritas Rendah</v>
      </c>
      <c r="H23" s="28">
        <f t="shared" si="2"/>
        <v>0.54835222052102872</v>
      </c>
      <c r="I23" s="58" t="s">
        <v>120</v>
      </c>
    </row>
    <row r="24" spans="1:9" ht="21.75" customHeight="1" x14ac:dyDescent="0.25">
      <c r="A24" s="54">
        <f>'2_Normalisasi'!A18</f>
        <v>15</v>
      </c>
      <c r="B24" s="55" t="str">
        <f>'2_Normalisasi'!B18</f>
        <v>Museum Diponegoro</v>
      </c>
      <c r="C24" s="56">
        <f>SQRT(('2_Normalisasi'!H18-B$5)^2+('2_Normalisasi'!I18-C$5)^2+('2_Normalisasi'!J18-D$5)^2+('2_Normalisasi'!K18-E$5)^2+('2_Normalisasi'!L18-F$5)^2)</f>
        <v>1.4320003491619691</v>
      </c>
      <c r="D24" s="56">
        <f>SQRT(('2_Normalisasi'!H18-B$6)^2+('2_Normalisasi'!I18-C$6)^2+('2_Normalisasi'!J18-D$6)^2+('2_Normalisasi'!K18-E$6)^2+('2_Normalisasi'!L18-F$6)^2)</f>
        <v>0.93979839431011702</v>
      </c>
      <c r="E24" s="43">
        <f>SQRT(('2_Normalisasi'!H18-B$7)^2+('2_Normalisasi'!I18-C$7)^2+('2_Normalisasi'!J18-D$7)^2+('2_Normalisasi'!K18-E$7)^2+('2_Normalisasi'!L18-F$7)^2)</f>
        <v>0.68981478995774281</v>
      </c>
      <c r="F24" s="32" t="str">
        <f t="shared" si="0"/>
        <v>C3</v>
      </c>
      <c r="G24" s="32" t="str">
        <f t="shared" si="1"/>
        <v>Prioritas Sedang</v>
      </c>
      <c r="H24" s="28">
        <f t="shared" si="2"/>
        <v>0.68981478995774281</v>
      </c>
      <c r="I24" s="58" t="s">
        <v>121</v>
      </c>
    </row>
    <row r="26" spans="1:9" ht="24" customHeight="1" x14ac:dyDescent="0.25">
      <c r="A26" s="72" t="s">
        <v>124</v>
      </c>
      <c r="B26" s="72"/>
      <c r="C26" s="72"/>
      <c r="D26" s="72"/>
      <c r="E26" s="72"/>
      <c r="F26" s="72"/>
      <c r="G26" s="72"/>
      <c r="H26" s="72"/>
    </row>
  </sheetData>
  <mergeCells count="4">
    <mergeCell ref="A1:M1"/>
    <mergeCell ref="A2:M2"/>
    <mergeCell ref="A3:M3"/>
    <mergeCell ref="A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showGridLines="0" zoomScaleNormal="100" workbookViewId="0"/>
  </sheetViews>
  <sheetFormatPr defaultColWidth="8.7109375" defaultRowHeight="15" x14ac:dyDescent="0.25"/>
  <cols>
    <col min="1" max="1" width="22" style="15" customWidth="1"/>
    <col min="2" max="5" width="16" style="15" customWidth="1"/>
    <col min="6" max="6" width="20" style="15" customWidth="1"/>
  </cols>
  <sheetData>
    <row r="1" spans="1:8" ht="31.5" customHeight="1" x14ac:dyDescent="0.25">
      <c r="A1" s="1" t="s">
        <v>125</v>
      </c>
      <c r="B1" s="1"/>
      <c r="C1" s="1"/>
      <c r="D1" s="1"/>
      <c r="E1" s="1"/>
      <c r="F1" s="1"/>
      <c r="G1" s="1"/>
      <c r="H1" s="1"/>
    </row>
    <row r="2" spans="1:8" ht="36" customHeight="1" x14ac:dyDescent="0.25">
      <c r="A2" s="37" t="s">
        <v>6</v>
      </c>
      <c r="B2" s="38" t="s">
        <v>126</v>
      </c>
      <c r="C2" s="39" t="s">
        <v>127</v>
      </c>
      <c r="D2" s="40" t="s">
        <v>128</v>
      </c>
      <c r="E2" s="52" t="s">
        <v>129</v>
      </c>
      <c r="F2" s="52" t="s">
        <v>130</v>
      </c>
    </row>
    <row r="3" spans="1:8" ht="21.75" customHeight="1" x14ac:dyDescent="0.25">
      <c r="A3" s="18" t="s">
        <v>87</v>
      </c>
      <c r="B3" s="41">
        <f>AVERAGEIF('4_Iterasi_2'!F10:F24,"C1",'2_Normalisasi'!H4:H18)</f>
        <v>1</v>
      </c>
      <c r="C3" s="42">
        <f>AVERAGEIF('4_Iterasi_2'!F10:F24,"C2",'2_Normalisasi'!H4:H18)</f>
        <v>0.48148148148148157</v>
      </c>
      <c r="D3" s="43">
        <f>AVERAGEIF('4_Iterasi_2'!F10:F24,"C3",'2_Normalisasi'!H4:H18)</f>
        <v>0.53333333333333333</v>
      </c>
    </row>
    <row r="4" spans="1:8" ht="21.75" customHeight="1" x14ac:dyDescent="0.25">
      <c r="A4" s="18" t="s">
        <v>88</v>
      </c>
      <c r="B4" s="41">
        <f>AVERAGEIF('4_Iterasi_2'!F10:F24,"C1",'2_Normalisasi'!I4:I18)</f>
        <v>1</v>
      </c>
      <c r="C4" s="42">
        <f>AVERAGEIF('4_Iterasi_2'!F10:F24,"C2",'2_Normalisasi'!I4:I18)</f>
        <v>0.25</v>
      </c>
      <c r="D4" s="43">
        <f>AVERAGEIF('4_Iterasi_2'!F10:F24,"C3",'2_Normalisasi'!I4:I18)</f>
        <v>0.8</v>
      </c>
    </row>
    <row r="5" spans="1:8" ht="21.75" customHeight="1" x14ac:dyDescent="0.25">
      <c r="A5" s="18" t="s">
        <v>89</v>
      </c>
      <c r="B5" s="41">
        <f>AVERAGEIF('4_Iterasi_2'!F10:F24,"C1",'2_Normalisasi'!J4:J18)</f>
        <v>1</v>
      </c>
      <c r="C5" s="42">
        <f>AVERAGEIF('4_Iterasi_2'!F10:F24,"C2",'2_Normalisasi'!J4:J18)</f>
        <v>0.33333333333333331</v>
      </c>
      <c r="D5" s="43">
        <f>AVERAGEIF('4_Iterasi_2'!F10:F24,"C3",'2_Normalisasi'!J4:J18)</f>
        <v>0.9</v>
      </c>
    </row>
    <row r="6" spans="1:8" ht="21.75" customHeight="1" x14ac:dyDescent="0.25">
      <c r="A6" s="18" t="s">
        <v>90</v>
      </c>
      <c r="B6" s="41">
        <f>AVERAGEIF('4_Iterasi_2'!F10:F24,"C1",'2_Normalisasi'!K4:K18)</f>
        <v>1</v>
      </c>
      <c r="C6" s="42">
        <f>AVERAGEIF('4_Iterasi_2'!F10:F24,"C2",'2_Normalisasi'!K4:K18)</f>
        <v>0.22222222222222221</v>
      </c>
      <c r="D6" s="43">
        <f>AVERAGEIF('4_Iterasi_2'!F10:F24,"C3",'2_Normalisasi'!K4:K18)</f>
        <v>0.67999999999999994</v>
      </c>
    </row>
    <row r="7" spans="1:8" ht="21.75" customHeight="1" x14ac:dyDescent="0.25">
      <c r="A7" s="18" t="s">
        <v>91</v>
      </c>
      <c r="B7" s="41">
        <f>AVERAGEIF('4_Iterasi_2'!F10:F24,"C1",'2_Normalisasi'!L4:L18)</f>
        <v>1</v>
      </c>
      <c r="C7" s="42">
        <f>AVERAGEIF('4_Iterasi_2'!F10:F24,"C2",'2_Normalisasi'!L4:L18)</f>
        <v>0.41666666666666674</v>
      </c>
      <c r="D7" s="43">
        <f>AVERAGEIF('4_Iterasi_2'!F10:F24,"C3",'2_Normalisasi'!L4:L18)</f>
        <v>0.52500000000000002</v>
      </c>
    </row>
    <row r="9" spans="1:8" ht="21.75" customHeight="1" x14ac:dyDescent="0.25">
      <c r="A9" s="24" t="s">
        <v>131</v>
      </c>
      <c r="B9" s="46" t="str">
        <f>COUNTIF('4_Iterasi_2'!F10:F24,"C1")&amp;" destinasi"</f>
        <v>1 destinasi</v>
      </c>
      <c r="E9" s="46" t="s">
        <v>132</v>
      </c>
      <c r="F9" s="57" t="str">
        <f>TEXT(ABS(B3-'4_Iterasi_1'!B5),"0.0000")&amp;" (Konvergen ✔)"</f>
        <v>00.000 (Konvergen ✔)</v>
      </c>
    </row>
    <row r="10" spans="1:8" ht="21.75" customHeight="1" x14ac:dyDescent="0.25">
      <c r="A10" s="24" t="s">
        <v>133</v>
      </c>
      <c r="C10" s="48" t="str">
        <f>COUNTIF('4_Iterasi_2'!F10:F24,"C2")&amp;" destinasi"</f>
        <v>9 destinasi</v>
      </c>
      <c r="E10" s="48" t="s">
        <v>134</v>
      </c>
      <c r="F10" s="57" t="str">
        <f>TEXT(ABS(C3-'4_Iterasi_1'!B6),"0.0000")&amp;" (Konvergen ✔)"</f>
        <v>00.000 (Konvergen ✔)</v>
      </c>
    </row>
    <row r="11" spans="1:8" ht="21.75" customHeight="1" x14ac:dyDescent="0.25">
      <c r="A11" s="24" t="s">
        <v>135</v>
      </c>
      <c r="D11" s="50" t="str">
        <f>COUNTIF('4_Iterasi_2'!F10:F24,"C3")&amp;" destinasi"</f>
        <v>5 destinasi</v>
      </c>
      <c r="E11" s="50" t="s">
        <v>136</v>
      </c>
      <c r="F11" s="57" t="str">
        <f>TEXT(ABS(D3-'4_Iterasi_1'!B7),"0.0000")&amp;" (Konvergen ✔)"</f>
        <v>00.000 (Konvergen ✔)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showGridLines="0" zoomScaleNormal="100" workbookViewId="0"/>
  </sheetViews>
  <sheetFormatPr defaultColWidth="8.7109375" defaultRowHeight="15" x14ac:dyDescent="0.25"/>
  <cols>
    <col min="1" max="1" width="5" style="15" customWidth="1"/>
    <col min="2" max="2" width="30" style="15" customWidth="1"/>
    <col min="3" max="3" width="14" style="15" customWidth="1"/>
    <col min="4" max="4" width="10" style="15" customWidth="1"/>
    <col min="5" max="5" width="12" style="15" customWidth="1"/>
    <col min="6" max="8" width="10" style="15" customWidth="1"/>
    <col min="9" max="9" width="16" style="15" customWidth="1"/>
    <col min="10" max="11" width="10" style="15" customWidth="1"/>
    <col min="12" max="12" width="20" style="15" customWidth="1"/>
  </cols>
  <sheetData>
    <row r="1" spans="1:12" ht="31.5" customHeight="1" x14ac:dyDescent="0.25">
      <c r="A1" s="5" t="s">
        <v>137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6" customHeight="1" x14ac:dyDescent="0.25">
      <c r="A2" s="16" t="s">
        <v>36</v>
      </c>
      <c r="B2" s="16" t="s">
        <v>37</v>
      </c>
      <c r="C2" s="16" t="s">
        <v>138</v>
      </c>
      <c r="D2" s="16" t="s">
        <v>139</v>
      </c>
      <c r="E2" s="16" t="s">
        <v>140</v>
      </c>
      <c r="F2" s="16" t="s">
        <v>89</v>
      </c>
      <c r="G2" s="16" t="s">
        <v>90</v>
      </c>
      <c r="H2" s="16" t="s">
        <v>91</v>
      </c>
      <c r="I2" s="16" t="s">
        <v>141</v>
      </c>
      <c r="J2" s="16" t="s">
        <v>142</v>
      </c>
      <c r="K2" s="16" t="s">
        <v>143</v>
      </c>
      <c r="L2" s="16" t="s">
        <v>144</v>
      </c>
    </row>
    <row r="3" spans="1:12" ht="21.75" customHeight="1" x14ac:dyDescent="0.25">
      <c r="A3" s="54">
        <f>'1_Data_Asli'!A3</f>
        <v>1</v>
      </c>
      <c r="B3" s="61" t="str">
        <f>'1_Data_Asli'!B3</f>
        <v>Candi Borobudur</v>
      </c>
      <c r="C3" s="54" t="str">
        <f>'1_Data_Asli'!C3</f>
        <v>Budaya</v>
      </c>
      <c r="D3" s="54">
        <f>'1_Data_Asli'!D3</f>
        <v>9</v>
      </c>
      <c r="E3" s="54">
        <f>'1_Data_Asli'!E3</f>
        <v>9</v>
      </c>
      <c r="F3" s="54">
        <f>'1_Data_Asli'!F3</f>
        <v>8</v>
      </c>
      <c r="G3" s="54">
        <f>'1_Data_Asli'!G3</f>
        <v>9</v>
      </c>
      <c r="H3" s="54">
        <f>'1_Data_Asli'!H3</f>
        <v>4.8</v>
      </c>
      <c r="I3" s="62">
        <f>'1_Data_Asli'!I3</f>
        <v>850000</v>
      </c>
      <c r="J3" s="54">
        <f>'1_Data_Asli'!J3</f>
        <v>4.8</v>
      </c>
      <c r="K3" s="57" t="str">
        <f>'4_Iterasi_2'!F10</f>
        <v>C1</v>
      </c>
      <c r="L3" s="57" t="str">
        <f>'4_Iterasi_2'!G10</f>
        <v>Prioritas Tinggi</v>
      </c>
    </row>
    <row r="4" spans="1:12" ht="21.75" customHeight="1" x14ac:dyDescent="0.25">
      <c r="A4" s="20">
        <f>'1_Data_Asli'!A4</f>
        <v>2</v>
      </c>
      <c r="B4" s="21" t="str">
        <f>'1_Data_Asli'!B4</f>
        <v>Candi Mendut</v>
      </c>
      <c r="C4" s="20" t="str">
        <f>'1_Data_Asli'!C4</f>
        <v>Budaya</v>
      </c>
      <c r="D4" s="20">
        <f>'1_Data_Asli'!D4</f>
        <v>8</v>
      </c>
      <c r="E4" s="20">
        <f>'1_Data_Asli'!E4</f>
        <v>8</v>
      </c>
      <c r="F4" s="20">
        <f>'1_Data_Asli'!F4</f>
        <v>7</v>
      </c>
      <c r="G4" s="20">
        <f>'1_Data_Asli'!G4</f>
        <v>7</v>
      </c>
      <c r="H4" s="20">
        <f>'1_Data_Asli'!H4</f>
        <v>4.5</v>
      </c>
      <c r="I4" s="22">
        <f>'1_Data_Asli'!I4</f>
        <v>180000</v>
      </c>
      <c r="J4" s="20">
        <f>'1_Data_Asli'!J4</f>
        <v>4.5</v>
      </c>
      <c r="K4" s="32" t="str">
        <f>'4_Iterasi_2'!F11</f>
        <v>C3</v>
      </c>
      <c r="L4" s="32" t="str">
        <f>'4_Iterasi_2'!G11</f>
        <v>Prioritas Sedang</v>
      </c>
    </row>
    <row r="5" spans="1:12" ht="21.75" customHeight="1" x14ac:dyDescent="0.25">
      <c r="A5" s="54">
        <f>'1_Data_Asli'!A5</f>
        <v>3</v>
      </c>
      <c r="B5" s="61" t="str">
        <f>'1_Data_Asli'!B5</f>
        <v>Candi Pawon</v>
      </c>
      <c r="C5" s="54" t="str">
        <f>'1_Data_Asli'!C5</f>
        <v>Budaya</v>
      </c>
      <c r="D5" s="54">
        <f>'1_Data_Asli'!D5</f>
        <v>7</v>
      </c>
      <c r="E5" s="54">
        <f>'1_Data_Asli'!E5</f>
        <v>7</v>
      </c>
      <c r="F5" s="54">
        <f>'1_Data_Asli'!F5</f>
        <v>6</v>
      </c>
      <c r="G5" s="54">
        <f>'1_Data_Asli'!G5</f>
        <v>6</v>
      </c>
      <c r="H5" s="54">
        <f>'1_Data_Asli'!H5</f>
        <v>4.2</v>
      </c>
      <c r="I5" s="62">
        <f>'1_Data_Asli'!I5</f>
        <v>95000</v>
      </c>
      <c r="J5" s="54">
        <f>'1_Data_Asli'!J5</f>
        <v>4.2</v>
      </c>
      <c r="K5" s="60" t="str">
        <f>'4_Iterasi_2'!F12</f>
        <v>C2</v>
      </c>
      <c r="L5" s="60" t="str">
        <f>'4_Iterasi_2'!G12</f>
        <v>Prioritas Rendah</v>
      </c>
    </row>
    <row r="6" spans="1:12" ht="21.75" customHeight="1" x14ac:dyDescent="0.25">
      <c r="A6" s="20">
        <f>'1_Data_Asli'!A6</f>
        <v>4</v>
      </c>
      <c r="B6" s="21" t="str">
        <f>'1_Data_Asli'!B6</f>
        <v>Ketep Pass</v>
      </c>
      <c r="C6" s="20" t="str">
        <f>'1_Data_Asli'!C6</f>
        <v>Alam</v>
      </c>
      <c r="D6" s="20">
        <f>'1_Data_Asli'!D6</f>
        <v>9</v>
      </c>
      <c r="E6" s="20">
        <f>'1_Data_Asli'!E6</f>
        <v>7</v>
      </c>
      <c r="F6" s="20">
        <f>'1_Data_Asli'!F6</f>
        <v>8</v>
      </c>
      <c r="G6" s="20">
        <f>'1_Data_Asli'!G6</f>
        <v>7</v>
      </c>
      <c r="H6" s="20">
        <f>'1_Data_Asli'!H6</f>
        <v>4.5999999999999996</v>
      </c>
      <c r="I6" s="22">
        <f>'1_Data_Asli'!I6</f>
        <v>320000</v>
      </c>
      <c r="J6" s="20">
        <f>'1_Data_Asli'!J6</f>
        <v>4.5999999999999996</v>
      </c>
      <c r="K6" s="32" t="str">
        <f>'4_Iterasi_2'!F13</f>
        <v>C3</v>
      </c>
      <c r="L6" s="32" t="str">
        <f>'4_Iterasi_2'!G13</f>
        <v>Prioritas Sedang</v>
      </c>
    </row>
    <row r="7" spans="1:12" ht="21.75" customHeight="1" x14ac:dyDescent="0.25">
      <c r="A7" s="54">
        <f>'1_Data_Asli'!A7</f>
        <v>5</v>
      </c>
      <c r="B7" s="61" t="str">
        <f>'1_Data_Asli'!B7</f>
        <v>Punthuk Setumbu</v>
      </c>
      <c r="C7" s="54" t="str">
        <f>'1_Data_Asli'!C7</f>
        <v>Alam</v>
      </c>
      <c r="D7" s="54">
        <f>'1_Data_Asli'!D7</f>
        <v>9</v>
      </c>
      <c r="E7" s="54">
        <f>'1_Data_Asli'!E7</f>
        <v>6</v>
      </c>
      <c r="F7" s="54">
        <f>'1_Data_Asli'!F7</f>
        <v>7</v>
      </c>
      <c r="G7" s="54">
        <f>'1_Data_Asli'!G7</f>
        <v>6</v>
      </c>
      <c r="H7" s="54">
        <f>'1_Data_Asli'!H7</f>
        <v>4.7</v>
      </c>
      <c r="I7" s="62">
        <f>'1_Data_Asli'!I7</f>
        <v>210000</v>
      </c>
      <c r="J7" s="54">
        <f>'1_Data_Asli'!J7</f>
        <v>4.7</v>
      </c>
      <c r="K7" s="60" t="str">
        <f>'4_Iterasi_2'!F14</f>
        <v>C2</v>
      </c>
      <c r="L7" s="60" t="str">
        <f>'4_Iterasi_2'!G14</f>
        <v>Prioritas Rendah</v>
      </c>
    </row>
    <row r="8" spans="1:12" ht="21.75" customHeight="1" x14ac:dyDescent="0.25">
      <c r="A8" s="20">
        <f>'1_Data_Asli'!A8</f>
        <v>6</v>
      </c>
      <c r="B8" s="21" t="str">
        <f>'1_Data_Asli'!B8</f>
        <v>Air Terjun Kedung Kayang</v>
      </c>
      <c r="C8" s="20" t="str">
        <f>'1_Data_Asli'!C8</f>
        <v>Alam</v>
      </c>
      <c r="D8" s="20">
        <f>'1_Data_Asli'!D8</f>
        <v>8</v>
      </c>
      <c r="E8" s="20">
        <f>'1_Data_Asli'!E8</f>
        <v>5</v>
      </c>
      <c r="F8" s="20">
        <f>'1_Data_Asli'!F8</f>
        <v>5</v>
      </c>
      <c r="G8" s="20">
        <f>'1_Data_Asli'!G8</f>
        <v>5</v>
      </c>
      <c r="H8" s="20">
        <f>'1_Data_Asli'!H8</f>
        <v>4.3</v>
      </c>
      <c r="I8" s="22">
        <f>'1_Data_Asli'!I8</f>
        <v>75000</v>
      </c>
      <c r="J8" s="20">
        <f>'1_Data_Asli'!J8</f>
        <v>4.3</v>
      </c>
      <c r="K8" s="60" t="str">
        <f>'4_Iterasi_2'!F15</f>
        <v>C2</v>
      </c>
      <c r="L8" s="60" t="str">
        <f>'4_Iterasi_2'!G15</f>
        <v>Prioritas Rendah</v>
      </c>
    </row>
    <row r="9" spans="1:12" ht="21.75" customHeight="1" x14ac:dyDescent="0.25">
      <c r="A9" s="54">
        <f>'1_Data_Asli'!A9</f>
        <v>7</v>
      </c>
      <c r="B9" s="61" t="str">
        <f>'1_Data_Asli'!B9</f>
        <v>Desa Wisata Candirejo</v>
      </c>
      <c r="C9" s="54" t="str">
        <f>'1_Data_Asli'!C9</f>
        <v>Desa Wisata</v>
      </c>
      <c r="D9" s="54">
        <f>'1_Data_Asli'!D9</f>
        <v>7</v>
      </c>
      <c r="E9" s="54">
        <f>'1_Data_Asli'!E9</f>
        <v>7</v>
      </c>
      <c r="F9" s="54">
        <f>'1_Data_Asli'!F9</f>
        <v>6</v>
      </c>
      <c r="G9" s="54">
        <f>'1_Data_Asli'!G9</f>
        <v>6</v>
      </c>
      <c r="H9" s="54">
        <f>'1_Data_Asli'!H9</f>
        <v>4.4000000000000004</v>
      </c>
      <c r="I9" s="62">
        <f>'1_Data_Asli'!I9</f>
        <v>45000</v>
      </c>
      <c r="J9" s="54">
        <f>'1_Data_Asli'!J9</f>
        <v>4.4000000000000004</v>
      </c>
      <c r="K9" s="60" t="str">
        <f>'4_Iterasi_2'!F16</f>
        <v>C2</v>
      </c>
      <c r="L9" s="60" t="str">
        <f>'4_Iterasi_2'!G16</f>
        <v>Prioritas Rendah</v>
      </c>
    </row>
    <row r="10" spans="1:12" ht="21.75" customHeight="1" x14ac:dyDescent="0.25">
      <c r="A10" s="20">
        <f>'1_Data_Asli'!A10</f>
        <v>8</v>
      </c>
      <c r="B10" s="21" t="str">
        <f>'1_Data_Asli'!B10</f>
        <v>Desa Wisata Ngargogondo</v>
      </c>
      <c r="C10" s="20" t="str">
        <f>'1_Data_Asli'!C10</f>
        <v>Desa Wisata</v>
      </c>
      <c r="D10" s="20">
        <f>'1_Data_Asli'!D10</f>
        <v>6</v>
      </c>
      <c r="E10" s="20">
        <f>'1_Data_Asli'!E10</f>
        <v>6</v>
      </c>
      <c r="F10" s="20">
        <f>'1_Data_Asli'!F10</f>
        <v>5</v>
      </c>
      <c r="G10" s="20">
        <f>'1_Data_Asli'!G10</f>
        <v>5</v>
      </c>
      <c r="H10" s="20">
        <f>'1_Data_Asli'!H10</f>
        <v>4.0999999999999996</v>
      </c>
      <c r="I10" s="22">
        <f>'1_Data_Asli'!I10</f>
        <v>32000</v>
      </c>
      <c r="J10" s="20">
        <f>'1_Data_Asli'!J10</f>
        <v>4.0999999999999996</v>
      </c>
      <c r="K10" s="60" t="str">
        <f>'4_Iterasi_2'!F17</f>
        <v>C2</v>
      </c>
      <c r="L10" s="60" t="str">
        <f>'4_Iterasi_2'!G17</f>
        <v>Prioritas Rendah</v>
      </c>
    </row>
    <row r="11" spans="1:12" ht="21.75" customHeight="1" x14ac:dyDescent="0.25">
      <c r="A11" s="54">
        <f>'1_Data_Asli'!A11</f>
        <v>9</v>
      </c>
      <c r="B11" s="61" t="str">
        <f>'1_Data_Asli'!B11</f>
        <v>Masjid Agung Magelang</v>
      </c>
      <c r="C11" s="54" t="str">
        <f>'1_Data_Asli'!C11</f>
        <v>Religi</v>
      </c>
      <c r="D11" s="54">
        <f>'1_Data_Asli'!D11</f>
        <v>7</v>
      </c>
      <c r="E11" s="54">
        <f>'1_Data_Asli'!E11</f>
        <v>9</v>
      </c>
      <c r="F11" s="54">
        <f>'1_Data_Asli'!F11</f>
        <v>8</v>
      </c>
      <c r="G11" s="54">
        <f>'1_Data_Asli'!G11</f>
        <v>8</v>
      </c>
      <c r="H11" s="54">
        <f>'1_Data_Asli'!H11</f>
        <v>4.5</v>
      </c>
      <c r="I11" s="62">
        <f>'1_Data_Asli'!I11</f>
        <v>280000</v>
      </c>
      <c r="J11" s="54">
        <f>'1_Data_Asli'!J11</f>
        <v>4.5</v>
      </c>
      <c r="K11" s="32" t="str">
        <f>'4_Iterasi_2'!F18</f>
        <v>C3</v>
      </c>
      <c r="L11" s="32" t="str">
        <f>'4_Iterasi_2'!G18</f>
        <v>Prioritas Sedang</v>
      </c>
    </row>
    <row r="12" spans="1:12" ht="21.75" customHeight="1" x14ac:dyDescent="0.25">
      <c r="A12" s="20">
        <f>'1_Data_Asli'!A12</f>
        <v>10</v>
      </c>
      <c r="B12" s="21" t="str">
        <f>'1_Data_Asli'!B12</f>
        <v>Makam Kyai Raden Santri</v>
      </c>
      <c r="C12" s="20" t="str">
        <f>'1_Data_Asli'!C12</f>
        <v>Religi</v>
      </c>
      <c r="D12" s="20">
        <f>'1_Data_Asli'!D12</f>
        <v>6</v>
      </c>
      <c r="E12" s="20">
        <f>'1_Data_Asli'!E12</f>
        <v>7</v>
      </c>
      <c r="F12" s="20">
        <f>'1_Data_Asli'!F12</f>
        <v>5</v>
      </c>
      <c r="G12" s="20">
        <f>'1_Data_Asli'!G12</f>
        <v>5</v>
      </c>
      <c r="H12" s="20">
        <f>'1_Data_Asli'!H12</f>
        <v>4</v>
      </c>
      <c r="I12" s="22">
        <f>'1_Data_Asli'!I12</f>
        <v>120000</v>
      </c>
      <c r="J12" s="20">
        <f>'1_Data_Asli'!J12</f>
        <v>4</v>
      </c>
      <c r="K12" s="60" t="str">
        <f>'4_Iterasi_2'!F19</f>
        <v>C2</v>
      </c>
      <c r="L12" s="60" t="str">
        <f>'4_Iterasi_2'!G19</f>
        <v>Prioritas Rendah</v>
      </c>
    </row>
    <row r="13" spans="1:12" ht="21.75" customHeight="1" x14ac:dyDescent="0.25">
      <c r="A13" s="54">
        <f>'1_Data_Asli'!A13</f>
        <v>11</v>
      </c>
      <c r="B13" s="61" t="str">
        <f>'1_Data_Asli'!B13</f>
        <v>Taman Kyai Langgeng</v>
      </c>
      <c r="C13" s="54" t="str">
        <f>'1_Data_Asli'!C13</f>
        <v>Taman</v>
      </c>
      <c r="D13" s="54">
        <f>'1_Data_Asli'!D13</f>
        <v>8</v>
      </c>
      <c r="E13" s="54">
        <f>'1_Data_Asli'!E13</f>
        <v>9</v>
      </c>
      <c r="F13" s="54">
        <f>'1_Data_Asli'!F13</f>
        <v>8</v>
      </c>
      <c r="G13" s="54">
        <f>'1_Data_Asli'!G13</f>
        <v>8</v>
      </c>
      <c r="H13" s="54">
        <f>'1_Data_Asli'!H13</f>
        <v>4.4000000000000004</v>
      </c>
      <c r="I13" s="62">
        <f>'1_Data_Asli'!I13</f>
        <v>350000</v>
      </c>
      <c r="J13" s="54">
        <f>'1_Data_Asli'!J13</f>
        <v>4.4000000000000004</v>
      </c>
      <c r="K13" s="32" t="str">
        <f>'4_Iterasi_2'!F20</f>
        <v>C3</v>
      </c>
      <c r="L13" s="32" t="str">
        <f>'4_Iterasi_2'!G20</f>
        <v>Prioritas Sedang</v>
      </c>
    </row>
    <row r="14" spans="1:12" ht="21.75" customHeight="1" x14ac:dyDescent="0.25">
      <c r="A14" s="20">
        <f>'1_Data_Asli'!A14</f>
        <v>12</v>
      </c>
      <c r="B14" s="21" t="str">
        <f>'1_Data_Asli'!B14</f>
        <v>Kebun Teh Ngluwar</v>
      </c>
      <c r="C14" s="20" t="str">
        <f>'1_Data_Asli'!C14</f>
        <v>Alam</v>
      </c>
      <c r="D14" s="20">
        <f>'1_Data_Asli'!D14</f>
        <v>7</v>
      </c>
      <c r="E14" s="20">
        <f>'1_Data_Asli'!E14</f>
        <v>6</v>
      </c>
      <c r="F14" s="20">
        <f>'1_Data_Asli'!F14</f>
        <v>5</v>
      </c>
      <c r="G14" s="20">
        <f>'1_Data_Asli'!G14</f>
        <v>5</v>
      </c>
      <c r="H14" s="20">
        <f>'1_Data_Asli'!H14</f>
        <v>4.2</v>
      </c>
      <c r="I14" s="22">
        <f>'1_Data_Asli'!I14</f>
        <v>55000</v>
      </c>
      <c r="J14" s="20">
        <f>'1_Data_Asli'!J14</f>
        <v>4.2</v>
      </c>
      <c r="K14" s="60" t="str">
        <f>'4_Iterasi_2'!F21</f>
        <v>C2</v>
      </c>
      <c r="L14" s="60" t="str">
        <f>'4_Iterasi_2'!G21</f>
        <v>Prioritas Rendah</v>
      </c>
    </row>
    <row r="15" spans="1:12" ht="21.75" customHeight="1" x14ac:dyDescent="0.25">
      <c r="A15" s="54">
        <f>'1_Data_Asli'!A15</f>
        <v>13</v>
      </c>
      <c r="B15" s="61" t="str">
        <f>'1_Data_Asli'!B15</f>
        <v>Gunung Merbabu (basecamp)</v>
      </c>
      <c r="C15" s="54" t="str">
        <f>'1_Data_Asli'!C15</f>
        <v>Alam</v>
      </c>
      <c r="D15" s="54">
        <f>'1_Data_Asli'!D15</f>
        <v>9</v>
      </c>
      <c r="E15" s="54">
        <f>'1_Data_Asli'!E15</f>
        <v>5</v>
      </c>
      <c r="F15" s="54">
        <f>'1_Data_Asli'!F15</f>
        <v>5</v>
      </c>
      <c r="G15" s="54">
        <f>'1_Data_Asli'!G15</f>
        <v>4</v>
      </c>
      <c r="H15" s="54">
        <f>'1_Data_Asli'!H15</f>
        <v>4.5999999999999996</v>
      </c>
      <c r="I15" s="62">
        <f>'1_Data_Asli'!I15</f>
        <v>42000</v>
      </c>
      <c r="J15" s="54">
        <f>'1_Data_Asli'!J15</f>
        <v>4.5999999999999996</v>
      </c>
      <c r="K15" s="60" t="str">
        <f>'4_Iterasi_2'!F22</f>
        <v>C2</v>
      </c>
      <c r="L15" s="60" t="str">
        <f>'4_Iterasi_2'!G22</f>
        <v>Prioritas Rendah</v>
      </c>
    </row>
    <row r="16" spans="1:12" ht="21.75" customHeight="1" x14ac:dyDescent="0.25">
      <c r="A16" s="20">
        <f>'1_Data_Asli'!A16</f>
        <v>14</v>
      </c>
      <c r="B16" s="21" t="str">
        <f>'1_Data_Asli'!B16</f>
        <v>Sunrise Puthuk Mongkrong</v>
      </c>
      <c r="C16" s="20" t="str">
        <f>'1_Data_Asli'!C16</f>
        <v>Alam</v>
      </c>
      <c r="D16" s="20">
        <f>'1_Data_Asli'!D16</f>
        <v>8</v>
      </c>
      <c r="E16" s="20">
        <f>'1_Data_Asli'!E16</f>
        <v>5</v>
      </c>
      <c r="F16" s="20">
        <f>'1_Data_Asli'!F16</f>
        <v>4</v>
      </c>
      <c r="G16" s="20">
        <f>'1_Data_Asli'!G16</f>
        <v>4</v>
      </c>
      <c r="H16" s="20">
        <f>'1_Data_Asli'!H16</f>
        <v>4.5</v>
      </c>
      <c r="I16" s="22">
        <f>'1_Data_Asli'!I16</f>
        <v>28000</v>
      </c>
      <c r="J16" s="20">
        <f>'1_Data_Asli'!J16</f>
        <v>4.5</v>
      </c>
      <c r="K16" s="60" t="str">
        <f>'4_Iterasi_2'!F23</f>
        <v>C2</v>
      </c>
      <c r="L16" s="60" t="str">
        <f>'4_Iterasi_2'!G23</f>
        <v>Prioritas Rendah</v>
      </c>
    </row>
    <row r="17" spans="1:12" ht="21.75" customHeight="1" x14ac:dyDescent="0.25">
      <c r="A17" s="54">
        <f>'1_Data_Asli'!A17</f>
        <v>15</v>
      </c>
      <c r="B17" s="61" t="str">
        <f>'1_Data_Asli'!B17</f>
        <v>Museum Diponegoro</v>
      </c>
      <c r="C17" s="54" t="str">
        <f>'1_Data_Asli'!C17</f>
        <v>Budaya</v>
      </c>
      <c r="D17" s="54">
        <f>'1_Data_Asli'!D17</f>
        <v>6</v>
      </c>
      <c r="E17" s="54">
        <f>'1_Data_Asli'!E17</f>
        <v>8</v>
      </c>
      <c r="F17" s="54">
        <f>'1_Data_Asli'!F17</f>
        <v>7</v>
      </c>
      <c r="G17" s="54">
        <f>'1_Data_Asli'!G17</f>
        <v>7</v>
      </c>
      <c r="H17" s="54">
        <f>'1_Data_Asli'!H17</f>
        <v>4.0999999999999996</v>
      </c>
      <c r="I17" s="62">
        <f>'1_Data_Asli'!I17</f>
        <v>85000</v>
      </c>
      <c r="J17" s="54">
        <f>'1_Data_Asli'!J17</f>
        <v>4.0999999999999996</v>
      </c>
      <c r="K17" s="32" t="str">
        <f>'4_Iterasi_2'!F24</f>
        <v>C3</v>
      </c>
      <c r="L17" s="32" t="str">
        <f>'4_Iterasi_2'!G24</f>
        <v>Prioritas Sedang</v>
      </c>
    </row>
    <row r="19" spans="1:12" ht="13.5" customHeight="1" x14ac:dyDescent="0.25"/>
    <row r="20" spans="1:12" ht="25.5" customHeight="1" x14ac:dyDescent="0.25">
      <c r="A20" s="73" t="s">
        <v>145</v>
      </c>
      <c r="B20" s="73"/>
      <c r="C20" s="74" t="s">
        <v>46</v>
      </c>
      <c r="D20" s="74"/>
      <c r="E20" s="74"/>
      <c r="F20" s="74"/>
      <c r="G20" s="74"/>
      <c r="H20" s="74"/>
      <c r="I20" s="74"/>
      <c r="J20" s="74"/>
      <c r="K20" s="74"/>
      <c r="L20" s="74"/>
    </row>
    <row r="21" spans="1:12" ht="25.5" customHeight="1" x14ac:dyDescent="0.25">
      <c r="A21" s="75" t="s">
        <v>146</v>
      </c>
      <c r="B21" s="75"/>
      <c r="C21" s="76" t="s">
        <v>147</v>
      </c>
      <c r="D21" s="76"/>
      <c r="E21" s="76"/>
      <c r="F21" s="76"/>
      <c r="G21" s="76"/>
      <c r="H21" s="76"/>
      <c r="I21" s="76"/>
      <c r="J21" s="76"/>
      <c r="K21" s="76"/>
      <c r="L21" s="76"/>
    </row>
    <row r="22" spans="1:12" ht="25.5" customHeight="1" x14ac:dyDescent="0.25">
      <c r="A22" s="77" t="s">
        <v>148</v>
      </c>
      <c r="B22" s="77"/>
      <c r="C22" s="78" t="s">
        <v>149</v>
      </c>
      <c r="D22" s="78"/>
      <c r="E22" s="78"/>
      <c r="F22" s="78"/>
      <c r="G22" s="78"/>
      <c r="H22" s="78"/>
      <c r="I22" s="78"/>
      <c r="J22" s="78"/>
      <c r="K22" s="78"/>
      <c r="L22" s="78"/>
    </row>
  </sheetData>
  <mergeCells count="7">
    <mergeCell ref="A22:B22"/>
    <mergeCell ref="C22:L22"/>
    <mergeCell ref="A1:L1"/>
    <mergeCell ref="A20:B20"/>
    <mergeCell ref="C20:L20"/>
    <mergeCell ref="A21:B21"/>
    <mergeCell ref="C21:L2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showGridLines="0" zoomScaleNormal="100" workbookViewId="0"/>
  </sheetViews>
  <sheetFormatPr defaultColWidth="8.7109375" defaultRowHeight="15" x14ac:dyDescent="0.25"/>
  <cols>
    <col min="1" max="1" width="5" style="15" customWidth="1"/>
    <col min="2" max="2" width="30" style="15" customWidth="1"/>
    <col min="3" max="3" width="16" style="15" customWidth="1"/>
    <col min="4" max="8" width="14" style="15" customWidth="1"/>
    <col min="9" max="9" width="16" style="15" customWidth="1"/>
  </cols>
  <sheetData>
    <row r="1" spans="1:10" ht="31.5" customHeight="1" x14ac:dyDescent="0.25">
      <c r="A1" s="5" t="s">
        <v>150</v>
      </c>
      <c r="B1" s="5"/>
      <c r="C1" s="5"/>
      <c r="D1" s="5"/>
      <c r="E1" s="5"/>
      <c r="F1" s="5"/>
      <c r="G1" s="5"/>
      <c r="H1" s="5"/>
      <c r="I1" s="5"/>
      <c r="J1" s="5"/>
    </row>
    <row r="2" spans="1:10" ht="21.75" customHeight="1" x14ac:dyDescent="0.25">
      <c r="A2" s="4" t="s">
        <v>151</v>
      </c>
      <c r="B2" s="4"/>
      <c r="C2" s="4"/>
      <c r="D2" s="4"/>
      <c r="E2" s="4"/>
      <c r="F2" s="4"/>
      <c r="G2" s="4"/>
      <c r="H2" s="4"/>
      <c r="I2" s="4"/>
      <c r="J2" s="4"/>
    </row>
    <row r="3" spans="1:10" ht="36" customHeight="1" x14ac:dyDescent="0.25">
      <c r="A3" s="16" t="s">
        <v>36</v>
      </c>
      <c r="B3" s="16" t="s">
        <v>37</v>
      </c>
      <c r="C3" s="16" t="s">
        <v>143</v>
      </c>
      <c r="D3" s="16" t="s">
        <v>152</v>
      </c>
      <c r="E3" s="16" t="s">
        <v>153</v>
      </c>
      <c r="F3" s="16" t="s">
        <v>154</v>
      </c>
      <c r="G3" s="16" t="s">
        <v>155</v>
      </c>
      <c r="H3" s="16" t="s">
        <v>156</v>
      </c>
      <c r="I3" s="16" t="s">
        <v>157</v>
      </c>
    </row>
    <row r="4" spans="1:10" ht="21.75" customHeight="1" x14ac:dyDescent="0.25">
      <c r="A4" s="63">
        <f>'2_Normalisasi'!A4</f>
        <v>1</v>
      </c>
      <c r="B4" s="64" t="str">
        <f>'2_Normalisasi'!B4</f>
        <v>Candi Borobudur</v>
      </c>
      <c r="C4" s="57" t="str">
        <f>'4_Iterasi_2'!F10&amp;" · "&amp;'4_Iterasi_2'!G10</f>
        <v>C1 · Prioritas Tinggi</v>
      </c>
      <c r="D4" s="65">
        <f>('2_Normalisasi'!H4-IF('4_Iterasi_2'!F10="C1",'5_Centroid_Akhir'!B3,IF('4_Iterasi_2'!F10="C2",'5_Centroid_Akhir'!C3,'5_Centroid_Akhir'!D3)))^2</f>
        <v>0</v>
      </c>
      <c r="E4" s="65">
        <f>('2_Normalisasi'!I4-IF('4_Iterasi_2'!F10="C1",'5_Centroid_Akhir'!B4,IF('4_Iterasi_2'!F10="C2",'5_Centroid_Akhir'!C4,'5_Centroid_Akhir'!D4)))^2</f>
        <v>0</v>
      </c>
      <c r="F4" s="65">
        <f>('2_Normalisasi'!J4-IF('4_Iterasi_2'!F10="C1",'5_Centroid_Akhir'!B5,IF('4_Iterasi_2'!F10="C2",'5_Centroid_Akhir'!C5,'5_Centroid_Akhir'!D5)))^2</f>
        <v>0</v>
      </c>
      <c r="G4" s="65">
        <f>('2_Normalisasi'!K4-IF('4_Iterasi_2'!F10="C1",'5_Centroid_Akhir'!B6,IF('4_Iterasi_2'!F10="C2",'5_Centroid_Akhir'!C6,'5_Centroid_Akhir'!D6)))^2</f>
        <v>0</v>
      </c>
      <c r="H4" s="65">
        <f>('2_Normalisasi'!L4-IF('4_Iterasi_2'!F10="C1",'5_Centroid_Akhir'!B7,IF('4_Iterasi_2'!F10="C2",'5_Centroid_Akhir'!C7,'5_Centroid_Akhir'!D7)))^2</f>
        <v>0</v>
      </c>
      <c r="I4" s="66">
        <f t="shared" ref="I4:I18" si="0">D4+E4+F4+G4+H4</f>
        <v>0</v>
      </c>
    </row>
    <row r="5" spans="1:10" ht="21.75" customHeight="1" x14ac:dyDescent="0.25">
      <c r="A5" s="31">
        <f>'2_Normalisasi'!A5</f>
        <v>2</v>
      </c>
      <c r="B5" s="67" t="str">
        <f>'2_Normalisasi'!B5</f>
        <v>Candi Mendut</v>
      </c>
      <c r="C5" s="32" t="str">
        <f>'4_Iterasi_2'!F11&amp;" · "&amp;'4_Iterasi_2'!G11</f>
        <v>C3 · Prioritas Sedang</v>
      </c>
      <c r="D5" s="68">
        <f>('2_Normalisasi'!H5-IF('4_Iterasi_2'!F11="C1",'5_Centroid_Akhir'!B3,IF('4_Iterasi_2'!F11="C2",'5_Centroid_Akhir'!C3,'5_Centroid_Akhir'!D3)))^2</f>
        <v>1.7777777777777771E-2</v>
      </c>
      <c r="E5" s="68">
        <f>('2_Normalisasi'!I5-IF('4_Iterasi_2'!F11="C1",'5_Centroid_Akhir'!B4,IF('4_Iterasi_2'!F11="C2",'5_Centroid_Akhir'!C4,'5_Centroid_Akhir'!D4)))^2</f>
        <v>2.5000000000000044E-3</v>
      </c>
      <c r="F5" s="68">
        <f>('2_Normalisasi'!J5-IF('4_Iterasi_2'!F11="C1",'5_Centroid_Akhir'!B5,IF('4_Iterasi_2'!F11="C2",'5_Centroid_Akhir'!C5,'5_Centroid_Akhir'!D5)))^2</f>
        <v>2.2500000000000006E-2</v>
      </c>
      <c r="G5" s="68">
        <f>('2_Normalisasi'!K5-IF('4_Iterasi_2'!F11="C1",'5_Centroid_Akhir'!B6,IF('4_Iterasi_2'!F11="C2",'5_Centroid_Akhir'!C6,'5_Centroid_Akhir'!D6)))^2</f>
        <v>6.3999999999999934E-3</v>
      </c>
      <c r="H5" s="68">
        <f>('2_Normalisasi'!L5-IF('4_Iterasi_2'!F11="C1",'5_Centroid_Akhir'!B7,IF('4_Iterasi_2'!F11="C2",'5_Centroid_Akhir'!C7,'5_Centroid_Akhir'!D7)))^2</f>
        <v>1.0000000000000018E-2</v>
      </c>
      <c r="I5" s="66">
        <f t="shared" si="0"/>
        <v>5.9177777777777794E-2</v>
      </c>
    </row>
    <row r="6" spans="1:10" ht="21.75" customHeight="1" x14ac:dyDescent="0.25">
      <c r="A6" s="69">
        <f>'2_Normalisasi'!A6</f>
        <v>3</v>
      </c>
      <c r="B6" s="70" t="str">
        <f>'2_Normalisasi'!B6</f>
        <v>Candi Pawon</v>
      </c>
      <c r="C6" s="60" t="str">
        <f>'4_Iterasi_2'!F12&amp;" · "&amp;'4_Iterasi_2'!G12</f>
        <v>C2 · Prioritas Rendah</v>
      </c>
      <c r="D6" s="71">
        <f>('2_Normalisasi'!H6-IF('4_Iterasi_2'!F12="C1",'5_Centroid_Akhir'!B3,IF('4_Iterasi_2'!F12="C2",'5_Centroid_Akhir'!C3,'5_Centroid_Akhir'!D3)))^2</f>
        <v>2.1947873799725681E-2</v>
      </c>
      <c r="E6" s="71">
        <f>('2_Normalisasi'!I6-IF('4_Iterasi_2'!F12="C1",'5_Centroid_Akhir'!B4,IF('4_Iterasi_2'!F12="C2",'5_Centroid_Akhir'!C4,'5_Centroid_Akhir'!D4)))^2</f>
        <v>6.25E-2</v>
      </c>
      <c r="F6" s="71">
        <f>('2_Normalisasi'!J6-IF('4_Iterasi_2'!F12="C1",'5_Centroid_Akhir'!B5,IF('4_Iterasi_2'!F12="C2",'5_Centroid_Akhir'!C5,'5_Centroid_Akhir'!D5)))^2</f>
        <v>2.7777777777777783E-2</v>
      </c>
      <c r="G6" s="71">
        <f>('2_Normalisasi'!K6-IF('4_Iterasi_2'!F12="C1",'5_Centroid_Akhir'!B6,IF('4_Iterasi_2'!F12="C2",'5_Centroid_Akhir'!C6,'5_Centroid_Akhir'!D6)))^2</f>
        <v>3.1604938271604953E-2</v>
      </c>
      <c r="H6" s="71">
        <f>('2_Normalisasi'!L6-IF('4_Iterasi_2'!F12="C1",'5_Centroid_Akhir'!B7,IF('4_Iterasi_2'!F12="C2",'5_Centroid_Akhir'!C7,'5_Centroid_Akhir'!D7)))^2</f>
        <v>2.777777777777771E-2</v>
      </c>
      <c r="I6" s="66">
        <f t="shared" si="0"/>
        <v>0.17160836762688614</v>
      </c>
    </row>
    <row r="7" spans="1:10" ht="21.75" customHeight="1" x14ac:dyDescent="0.25">
      <c r="A7" s="31">
        <f>'2_Normalisasi'!A7</f>
        <v>4</v>
      </c>
      <c r="B7" s="67" t="str">
        <f>'2_Normalisasi'!B7</f>
        <v>Ketep Pass</v>
      </c>
      <c r="C7" s="32" t="str">
        <f>'4_Iterasi_2'!F13&amp;" · "&amp;'4_Iterasi_2'!G13</f>
        <v>C3 · Prioritas Sedang</v>
      </c>
      <c r="D7" s="68">
        <f>('2_Normalisasi'!H7-IF('4_Iterasi_2'!F13="C1",'5_Centroid_Akhir'!B3,IF('4_Iterasi_2'!F13="C2",'5_Centroid_Akhir'!C3,'5_Centroid_Akhir'!D3)))^2</f>
        <v>0.21777777777777779</v>
      </c>
      <c r="E7" s="68">
        <f>('2_Normalisasi'!I7-IF('4_Iterasi_2'!F13="C1",'5_Centroid_Akhir'!B4,IF('4_Iterasi_2'!F13="C2",'5_Centroid_Akhir'!C4,'5_Centroid_Akhir'!D4)))^2</f>
        <v>9.0000000000000024E-2</v>
      </c>
      <c r="F7" s="68">
        <f>('2_Normalisasi'!J7-IF('4_Iterasi_2'!F13="C1",'5_Centroid_Akhir'!B5,IF('4_Iterasi_2'!F13="C2",'5_Centroid_Akhir'!C5,'5_Centroid_Akhir'!D5)))^2</f>
        <v>9.999999999999995E-3</v>
      </c>
      <c r="G7" s="68">
        <f>('2_Normalisasi'!K7-IF('4_Iterasi_2'!F13="C1",'5_Centroid_Akhir'!B6,IF('4_Iterasi_2'!F13="C2",'5_Centroid_Akhir'!C6,'5_Centroid_Akhir'!D6)))^2</f>
        <v>6.3999999999999934E-3</v>
      </c>
      <c r="H7" s="68">
        <f>('2_Normalisasi'!L7-IF('4_Iterasi_2'!F13="C1",'5_Centroid_Akhir'!B7,IF('4_Iterasi_2'!F13="C2",'5_Centroid_Akhir'!C7,'5_Centroid_Akhir'!D7)))^2</f>
        <v>5.0624999999999892E-2</v>
      </c>
      <c r="I7" s="66">
        <f t="shared" si="0"/>
        <v>0.37480277777777771</v>
      </c>
    </row>
    <row r="8" spans="1:10" ht="21.75" customHeight="1" x14ac:dyDescent="0.25">
      <c r="A8" s="69">
        <f>'2_Normalisasi'!A8</f>
        <v>5</v>
      </c>
      <c r="B8" s="70" t="str">
        <f>'2_Normalisasi'!B8</f>
        <v>Punthuk Setumbu</v>
      </c>
      <c r="C8" s="60" t="str">
        <f>'4_Iterasi_2'!F14&amp;" · "&amp;'4_Iterasi_2'!G14</f>
        <v>C2 · Prioritas Rendah</v>
      </c>
      <c r="D8" s="71">
        <f>('2_Normalisasi'!H8-IF('4_Iterasi_2'!F14="C1",'5_Centroid_Akhir'!B3,IF('4_Iterasi_2'!F14="C2",'5_Centroid_Akhir'!C3,'5_Centroid_Akhir'!D3)))^2</f>
        <v>0.26886145404663908</v>
      </c>
      <c r="E8" s="71">
        <f>('2_Normalisasi'!I8-IF('4_Iterasi_2'!F14="C1",'5_Centroid_Akhir'!B4,IF('4_Iterasi_2'!F14="C2",'5_Centroid_Akhir'!C4,'5_Centroid_Akhir'!D4)))^2</f>
        <v>0</v>
      </c>
      <c r="F8" s="71">
        <f>('2_Normalisasi'!J8-IF('4_Iterasi_2'!F14="C1",'5_Centroid_Akhir'!B5,IF('4_Iterasi_2'!F14="C2",'5_Centroid_Akhir'!C5,'5_Centroid_Akhir'!D5)))^2</f>
        <v>0.17361111111111113</v>
      </c>
      <c r="G8" s="71">
        <f>('2_Normalisasi'!K8-IF('4_Iterasi_2'!F14="C1",'5_Centroid_Akhir'!B6,IF('4_Iterasi_2'!F14="C2",'5_Centroid_Akhir'!C6,'5_Centroid_Akhir'!D6)))^2</f>
        <v>3.1604938271604953E-2</v>
      </c>
      <c r="H8" s="71">
        <f>('2_Normalisasi'!L8-IF('4_Iterasi_2'!F14="C1",'5_Centroid_Akhir'!B7,IF('4_Iterasi_2'!F14="C2",'5_Centroid_Akhir'!C7,'5_Centroid_Akhir'!D7)))^2</f>
        <v>0.21006944444444478</v>
      </c>
      <c r="I8" s="66">
        <f t="shared" si="0"/>
        <v>0.68414694787379993</v>
      </c>
    </row>
    <row r="9" spans="1:10" ht="21.75" customHeight="1" x14ac:dyDescent="0.25">
      <c r="A9" s="69">
        <f>'2_Normalisasi'!A9</f>
        <v>6</v>
      </c>
      <c r="B9" s="70" t="str">
        <f>'2_Normalisasi'!B9</f>
        <v>Air Terjun Kedung Kayang</v>
      </c>
      <c r="C9" s="60" t="str">
        <f>'4_Iterasi_2'!F15&amp;" · "&amp;'4_Iterasi_2'!G15</f>
        <v>C2 · Prioritas Rendah</v>
      </c>
      <c r="D9" s="71">
        <f>('2_Normalisasi'!H9-IF('4_Iterasi_2'!F15="C1",'5_Centroid_Akhir'!B3,IF('4_Iterasi_2'!F15="C2",'5_Centroid_Akhir'!C3,'5_Centroid_Akhir'!D3)))^2</f>
        <v>3.4293552812071283E-2</v>
      </c>
      <c r="E9" s="71">
        <f>('2_Normalisasi'!I9-IF('4_Iterasi_2'!F15="C1",'5_Centroid_Akhir'!B4,IF('4_Iterasi_2'!F15="C2",'5_Centroid_Akhir'!C4,'5_Centroid_Akhir'!D4)))^2</f>
        <v>6.25E-2</v>
      </c>
      <c r="F9" s="71">
        <f>('2_Normalisasi'!J9-IF('4_Iterasi_2'!F15="C1",'5_Centroid_Akhir'!B5,IF('4_Iterasi_2'!F15="C2",'5_Centroid_Akhir'!C5,'5_Centroid_Akhir'!D5)))^2</f>
        <v>6.9444444444444415E-3</v>
      </c>
      <c r="G9" s="71">
        <f>('2_Normalisasi'!K9-IF('4_Iterasi_2'!F15="C1",'5_Centroid_Akhir'!B6,IF('4_Iterasi_2'!F15="C2",'5_Centroid_Akhir'!C6,'5_Centroid_Akhir'!D6)))^2</f>
        <v>4.9382716049382609E-4</v>
      </c>
      <c r="H9" s="71">
        <f>('2_Normalisasi'!L9-IF('4_Iterasi_2'!F15="C1",'5_Centroid_Akhir'!B7,IF('4_Iterasi_2'!F15="C2",'5_Centroid_Akhir'!C7,'5_Centroid_Akhir'!D7)))^2</f>
        <v>1.7361111111111266E-3</v>
      </c>
      <c r="I9" s="66">
        <f t="shared" si="0"/>
        <v>0.10596793552812069</v>
      </c>
    </row>
    <row r="10" spans="1:10" ht="21.75" customHeight="1" x14ac:dyDescent="0.25">
      <c r="A10" s="69">
        <f>'2_Normalisasi'!A10</f>
        <v>7</v>
      </c>
      <c r="B10" s="70" t="str">
        <f>'2_Normalisasi'!B10</f>
        <v>Desa Wisata Candirejo</v>
      </c>
      <c r="C10" s="60" t="str">
        <f>'4_Iterasi_2'!F16&amp;" · "&amp;'4_Iterasi_2'!G16</f>
        <v>C2 · Prioritas Rendah</v>
      </c>
      <c r="D10" s="71">
        <f>('2_Normalisasi'!H10-IF('4_Iterasi_2'!F16="C1",'5_Centroid_Akhir'!B3,IF('4_Iterasi_2'!F16="C2",'5_Centroid_Akhir'!C3,'5_Centroid_Akhir'!D3)))^2</f>
        <v>2.1947873799725681E-2</v>
      </c>
      <c r="E10" s="71">
        <f>('2_Normalisasi'!I10-IF('4_Iterasi_2'!F16="C1",'5_Centroid_Akhir'!B4,IF('4_Iterasi_2'!F16="C2",'5_Centroid_Akhir'!C4,'5_Centroid_Akhir'!D4)))^2</f>
        <v>6.25E-2</v>
      </c>
      <c r="F10" s="71">
        <f>('2_Normalisasi'!J10-IF('4_Iterasi_2'!F16="C1",'5_Centroid_Akhir'!B5,IF('4_Iterasi_2'!F16="C2",'5_Centroid_Akhir'!C5,'5_Centroid_Akhir'!D5)))^2</f>
        <v>2.7777777777777783E-2</v>
      </c>
      <c r="G10" s="71">
        <f>('2_Normalisasi'!K10-IF('4_Iterasi_2'!F16="C1",'5_Centroid_Akhir'!B6,IF('4_Iterasi_2'!F16="C2",'5_Centroid_Akhir'!C6,'5_Centroid_Akhir'!D6)))^2</f>
        <v>3.1604938271604953E-2</v>
      </c>
      <c r="H10" s="71">
        <f>('2_Normalisasi'!L10-IF('4_Iterasi_2'!F16="C1",'5_Centroid_Akhir'!B7,IF('4_Iterasi_2'!F16="C2",'5_Centroid_Akhir'!C7,'5_Centroid_Akhir'!D7)))^2</f>
        <v>6.9444444444445247E-3</v>
      </c>
      <c r="I10" s="66">
        <f t="shared" si="0"/>
        <v>0.15077503429355296</v>
      </c>
    </row>
    <row r="11" spans="1:10" ht="21.75" customHeight="1" x14ac:dyDescent="0.25">
      <c r="A11" s="69">
        <f>'2_Normalisasi'!A11</f>
        <v>8</v>
      </c>
      <c r="B11" s="70" t="str">
        <f>'2_Normalisasi'!B11</f>
        <v>Desa Wisata Ngargogondo</v>
      </c>
      <c r="C11" s="60" t="str">
        <f>'4_Iterasi_2'!F17&amp;" · "&amp;'4_Iterasi_2'!G17</f>
        <v>C2 · Prioritas Rendah</v>
      </c>
      <c r="D11" s="71">
        <f>('2_Normalisasi'!H11-IF('4_Iterasi_2'!F17="C1",'5_Centroid_Akhir'!B3,IF('4_Iterasi_2'!F17="C2",'5_Centroid_Akhir'!C3,'5_Centroid_Akhir'!D3)))^2</f>
        <v>0.23182441700960227</v>
      </c>
      <c r="E11" s="71">
        <f>('2_Normalisasi'!I11-IF('4_Iterasi_2'!F17="C1",'5_Centroid_Akhir'!B4,IF('4_Iterasi_2'!F17="C2",'5_Centroid_Akhir'!C4,'5_Centroid_Akhir'!D4)))^2</f>
        <v>0</v>
      </c>
      <c r="F11" s="71">
        <f>('2_Normalisasi'!J11-IF('4_Iterasi_2'!F17="C1",'5_Centroid_Akhir'!B5,IF('4_Iterasi_2'!F17="C2",'5_Centroid_Akhir'!C5,'5_Centroid_Akhir'!D5)))^2</f>
        <v>6.9444444444444415E-3</v>
      </c>
      <c r="G11" s="71">
        <f>('2_Normalisasi'!K11-IF('4_Iterasi_2'!F17="C1",'5_Centroid_Akhir'!B6,IF('4_Iterasi_2'!F17="C2",'5_Centroid_Akhir'!C6,'5_Centroid_Akhir'!D6)))^2</f>
        <v>4.9382716049382609E-4</v>
      </c>
      <c r="H11" s="71">
        <f>('2_Normalisasi'!L11-IF('4_Iterasi_2'!F17="C1",'5_Centroid_Akhir'!B7,IF('4_Iterasi_2'!F17="C2",'5_Centroid_Akhir'!C7,'5_Centroid_Akhir'!D7)))^2</f>
        <v>8.5069444444444753E-2</v>
      </c>
      <c r="I11" s="66">
        <f t="shared" si="0"/>
        <v>0.32433213305898528</v>
      </c>
    </row>
    <row r="12" spans="1:10" ht="21.75" customHeight="1" x14ac:dyDescent="0.25">
      <c r="A12" s="31">
        <f>'2_Normalisasi'!A12</f>
        <v>9</v>
      </c>
      <c r="B12" s="67" t="str">
        <f>'2_Normalisasi'!B12</f>
        <v>Masjid Agung Magelang</v>
      </c>
      <c r="C12" s="32" t="str">
        <f>'4_Iterasi_2'!F18&amp;" · "&amp;'4_Iterasi_2'!G18</f>
        <v>C3 · Prioritas Sedang</v>
      </c>
      <c r="D12" s="68">
        <f>('2_Normalisasi'!H12-IF('4_Iterasi_2'!F18="C1",'5_Centroid_Akhir'!B3,IF('4_Iterasi_2'!F18="C2",'5_Centroid_Akhir'!C3,'5_Centroid_Akhir'!D3)))^2</f>
        <v>4.0000000000000008E-2</v>
      </c>
      <c r="E12" s="68">
        <f>('2_Normalisasi'!I12-IF('4_Iterasi_2'!F18="C1",'5_Centroid_Akhir'!B4,IF('4_Iterasi_2'!F18="C2",'5_Centroid_Akhir'!C4,'5_Centroid_Akhir'!D4)))^2</f>
        <v>3.999999999999998E-2</v>
      </c>
      <c r="F12" s="68">
        <f>('2_Normalisasi'!J12-IF('4_Iterasi_2'!F18="C1",'5_Centroid_Akhir'!B5,IF('4_Iterasi_2'!F18="C2",'5_Centroid_Akhir'!C5,'5_Centroid_Akhir'!D5)))^2</f>
        <v>9.999999999999995E-3</v>
      </c>
      <c r="G12" s="68">
        <f>('2_Normalisasi'!K12-IF('4_Iterasi_2'!F18="C1",'5_Centroid_Akhir'!B6,IF('4_Iterasi_2'!F18="C2",'5_Centroid_Akhir'!C6,'5_Centroid_Akhir'!D6)))^2</f>
        <v>1.4400000000000026E-2</v>
      </c>
      <c r="H12" s="68">
        <f>('2_Normalisasi'!L12-IF('4_Iterasi_2'!F18="C1",'5_Centroid_Akhir'!B7,IF('4_Iterasi_2'!F18="C2",'5_Centroid_Akhir'!C7,'5_Centroid_Akhir'!D7)))^2</f>
        <v>1.0000000000000018E-2</v>
      </c>
      <c r="I12" s="66">
        <f t="shared" si="0"/>
        <v>0.11440000000000003</v>
      </c>
    </row>
    <row r="13" spans="1:10" ht="21.75" customHeight="1" x14ac:dyDescent="0.25">
      <c r="A13" s="69">
        <f>'2_Normalisasi'!A13</f>
        <v>10</v>
      </c>
      <c r="B13" s="70" t="str">
        <f>'2_Normalisasi'!B13</f>
        <v>Makam Kyai Raden Santri</v>
      </c>
      <c r="C13" s="60" t="str">
        <f>'4_Iterasi_2'!F19&amp;" · "&amp;'4_Iterasi_2'!G19</f>
        <v>C2 · Prioritas Rendah</v>
      </c>
      <c r="D13" s="71">
        <f>('2_Normalisasi'!H13-IF('4_Iterasi_2'!F19="C1",'5_Centroid_Akhir'!B3,IF('4_Iterasi_2'!F19="C2",'5_Centroid_Akhir'!C3,'5_Centroid_Akhir'!D3)))^2</f>
        <v>0.23182441700960227</v>
      </c>
      <c r="E13" s="71">
        <f>('2_Normalisasi'!I13-IF('4_Iterasi_2'!F19="C1",'5_Centroid_Akhir'!B4,IF('4_Iterasi_2'!F19="C2",'5_Centroid_Akhir'!C4,'5_Centroid_Akhir'!D4)))^2</f>
        <v>6.25E-2</v>
      </c>
      <c r="F13" s="71">
        <f>('2_Normalisasi'!J13-IF('4_Iterasi_2'!F19="C1",'5_Centroid_Akhir'!B5,IF('4_Iterasi_2'!F19="C2",'5_Centroid_Akhir'!C5,'5_Centroid_Akhir'!D5)))^2</f>
        <v>6.9444444444444415E-3</v>
      </c>
      <c r="G13" s="71">
        <f>('2_Normalisasi'!K13-IF('4_Iterasi_2'!F19="C1",'5_Centroid_Akhir'!B6,IF('4_Iterasi_2'!F19="C2",'5_Centroid_Akhir'!C6,'5_Centroid_Akhir'!D6)))^2</f>
        <v>4.9382716049382609E-4</v>
      </c>
      <c r="H13" s="71">
        <f>('2_Normalisasi'!L13-IF('4_Iterasi_2'!F19="C1",'5_Centroid_Akhir'!B7,IF('4_Iterasi_2'!F19="C2",'5_Centroid_Akhir'!C7,'5_Centroid_Akhir'!D7)))^2</f>
        <v>0.17361111111111116</v>
      </c>
      <c r="I13" s="66">
        <f t="shared" si="0"/>
        <v>0.47537379972565169</v>
      </c>
    </row>
    <row r="14" spans="1:10" ht="21.75" customHeight="1" x14ac:dyDescent="0.25">
      <c r="A14" s="31">
        <f>'2_Normalisasi'!A14</f>
        <v>11</v>
      </c>
      <c r="B14" s="67" t="str">
        <f>'2_Normalisasi'!B14</f>
        <v>Taman Kyai Langgeng</v>
      </c>
      <c r="C14" s="32" t="str">
        <f>'4_Iterasi_2'!F20&amp;" · "&amp;'4_Iterasi_2'!G20</f>
        <v>C3 · Prioritas Sedang</v>
      </c>
      <c r="D14" s="68">
        <f>('2_Normalisasi'!H14-IF('4_Iterasi_2'!F20="C1",'5_Centroid_Akhir'!B3,IF('4_Iterasi_2'!F20="C2",'5_Centroid_Akhir'!C3,'5_Centroid_Akhir'!D3)))^2</f>
        <v>1.7777777777777771E-2</v>
      </c>
      <c r="E14" s="68">
        <f>('2_Normalisasi'!I14-IF('4_Iterasi_2'!F20="C1",'5_Centroid_Akhir'!B4,IF('4_Iterasi_2'!F20="C2",'5_Centroid_Akhir'!C4,'5_Centroid_Akhir'!D4)))^2</f>
        <v>3.999999999999998E-2</v>
      </c>
      <c r="F14" s="68">
        <f>('2_Normalisasi'!J14-IF('4_Iterasi_2'!F20="C1",'5_Centroid_Akhir'!B5,IF('4_Iterasi_2'!F20="C2",'5_Centroid_Akhir'!C5,'5_Centroid_Akhir'!D5)))^2</f>
        <v>9.999999999999995E-3</v>
      </c>
      <c r="G14" s="68">
        <f>('2_Normalisasi'!K14-IF('4_Iterasi_2'!F20="C1",'5_Centroid_Akhir'!B6,IF('4_Iterasi_2'!F20="C2",'5_Centroid_Akhir'!C6,'5_Centroid_Akhir'!D6)))^2</f>
        <v>1.4400000000000026E-2</v>
      </c>
      <c r="H14" s="68">
        <f>('2_Normalisasi'!L14-IF('4_Iterasi_2'!F20="C1",'5_Centroid_Akhir'!B7,IF('4_Iterasi_2'!F20="C2",'5_Centroid_Akhir'!C7,'5_Centroid_Akhir'!D7)))^2</f>
        <v>6.2499999999997334E-4</v>
      </c>
      <c r="I14" s="66">
        <f t="shared" si="0"/>
        <v>8.2802777777777739E-2</v>
      </c>
    </row>
    <row r="15" spans="1:10" ht="21.75" customHeight="1" x14ac:dyDescent="0.25">
      <c r="A15" s="69">
        <f>'2_Normalisasi'!A15</f>
        <v>12</v>
      </c>
      <c r="B15" s="70" t="str">
        <f>'2_Normalisasi'!B15</f>
        <v>Kebun Teh Ngluwar</v>
      </c>
      <c r="C15" s="60" t="str">
        <f>'4_Iterasi_2'!F21&amp;" · "&amp;'4_Iterasi_2'!G21</f>
        <v>C2 · Prioritas Rendah</v>
      </c>
      <c r="D15" s="71">
        <f>('2_Normalisasi'!H15-IF('4_Iterasi_2'!F21="C1",'5_Centroid_Akhir'!B3,IF('4_Iterasi_2'!F21="C2",'5_Centroid_Akhir'!C3,'5_Centroid_Akhir'!D3)))^2</f>
        <v>2.1947873799725681E-2</v>
      </c>
      <c r="E15" s="71">
        <f>('2_Normalisasi'!I15-IF('4_Iterasi_2'!F21="C1",'5_Centroid_Akhir'!B4,IF('4_Iterasi_2'!F21="C2",'5_Centroid_Akhir'!C4,'5_Centroid_Akhir'!D4)))^2</f>
        <v>0</v>
      </c>
      <c r="F15" s="71">
        <f>('2_Normalisasi'!J15-IF('4_Iterasi_2'!F21="C1",'5_Centroid_Akhir'!B5,IF('4_Iterasi_2'!F21="C2",'5_Centroid_Akhir'!C5,'5_Centroid_Akhir'!D5)))^2</f>
        <v>6.9444444444444415E-3</v>
      </c>
      <c r="G15" s="71">
        <f>('2_Normalisasi'!K15-IF('4_Iterasi_2'!F21="C1",'5_Centroid_Akhir'!B6,IF('4_Iterasi_2'!F21="C2",'5_Centroid_Akhir'!C6,'5_Centroid_Akhir'!D6)))^2</f>
        <v>4.9382716049382609E-4</v>
      </c>
      <c r="H15" s="71">
        <f>('2_Normalisasi'!L15-IF('4_Iterasi_2'!F21="C1",'5_Centroid_Akhir'!B7,IF('4_Iterasi_2'!F21="C2",'5_Centroid_Akhir'!C7,'5_Centroid_Akhir'!D7)))^2</f>
        <v>2.777777777777771E-2</v>
      </c>
      <c r="I15" s="66">
        <f t="shared" si="0"/>
        <v>5.7163923182441657E-2</v>
      </c>
    </row>
    <row r="16" spans="1:10" ht="21.75" customHeight="1" x14ac:dyDescent="0.25">
      <c r="A16" s="69">
        <f>'2_Normalisasi'!A16</f>
        <v>13</v>
      </c>
      <c r="B16" s="70" t="str">
        <f>'2_Normalisasi'!B16</f>
        <v>Gunung Merbabu (basecamp)</v>
      </c>
      <c r="C16" s="60" t="str">
        <f>'4_Iterasi_2'!F22&amp;" · "&amp;'4_Iterasi_2'!G22</f>
        <v>C2 · Prioritas Rendah</v>
      </c>
      <c r="D16" s="71">
        <f>('2_Normalisasi'!H16-IF('4_Iterasi_2'!F22="C1",'5_Centroid_Akhir'!B3,IF('4_Iterasi_2'!F22="C2",'5_Centroid_Akhir'!C3,'5_Centroid_Akhir'!D3)))^2</f>
        <v>0.26886145404663908</v>
      </c>
      <c r="E16" s="71">
        <f>('2_Normalisasi'!I16-IF('4_Iterasi_2'!F22="C1",'5_Centroid_Akhir'!B4,IF('4_Iterasi_2'!F22="C2",'5_Centroid_Akhir'!C4,'5_Centroid_Akhir'!D4)))^2</f>
        <v>6.25E-2</v>
      </c>
      <c r="F16" s="71">
        <f>('2_Normalisasi'!J16-IF('4_Iterasi_2'!F22="C1",'5_Centroid_Akhir'!B5,IF('4_Iterasi_2'!F22="C2",'5_Centroid_Akhir'!C5,'5_Centroid_Akhir'!D5)))^2</f>
        <v>6.9444444444444415E-3</v>
      </c>
      <c r="G16" s="71">
        <f>('2_Normalisasi'!K16-IF('4_Iterasi_2'!F22="C1",'5_Centroid_Akhir'!B6,IF('4_Iterasi_2'!F22="C2",'5_Centroid_Akhir'!C6,'5_Centroid_Akhir'!D6)))^2</f>
        <v>4.9382716049382713E-2</v>
      </c>
      <c r="H16" s="71">
        <f>('2_Normalisasi'!L16-IF('4_Iterasi_2'!F22="C1",'5_Centroid_Akhir'!B7,IF('4_Iterasi_2'!F22="C2",'5_Centroid_Akhir'!C7,'5_Centroid_Akhir'!D7)))^2</f>
        <v>0.11111111111111091</v>
      </c>
      <c r="I16" s="66">
        <f t="shared" si="0"/>
        <v>0.49879972565157715</v>
      </c>
    </row>
    <row r="17" spans="1:9" ht="21.75" customHeight="1" x14ac:dyDescent="0.25">
      <c r="A17" s="69">
        <f>'2_Normalisasi'!A17</f>
        <v>14</v>
      </c>
      <c r="B17" s="70" t="str">
        <f>'2_Normalisasi'!B17</f>
        <v>Sunrise Puthuk Mongkrong</v>
      </c>
      <c r="C17" s="60" t="str">
        <f>'4_Iterasi_2'!F23&amp;" · "&amp;'4_Iterasi_2'!G23</f>
        <v>C2 · Prioritas Rendah</v>
      </c>
      <c r="D17" s="71">
        <f>('2_Normalisasi'!H17-IF('4_Iterasi_2'!F23="C1",'5_Centroid_Akhir'!B3,IF('4_Iterasi_2'!F23="C2",'5_Centroid_Akhir'!C3,'5_Centroid_Akhir'!D3)))^2</f>
        <v>3.4293552812071283E-2</v>
      </c>
      <c r="E17" s="71">
        <f>('2_Normalisasi'!I17-IF('4_Iterasi_2'!F23="C1",'5_Centroid_Akhir'!B4,IF('4_Iterasi_2'!F23="C2",'5_Centroid_Akhir'!C4,'5_Centroid_Akhir'!D4)))^2</f>
        <v>6.25E-2</v>
      </c>
      <c r="F17" s="71">
        <f>('2_Normalisasi'!J17-IF('4_Iterasi_2'!F23="C1",'5_Centroid_Akhir'!B5,IF('4_Iterasi_2'!F23="C2",'5_Centroid_Akhir'!C5,'5_Centroid_Akhir'!D5)))^2</f>
        <v>0.1111111111111111</v>
      </c>
      <c r="G17" s="71">
        <f>('2_Normalisasi'!K17-IF('4_Iterasi_2'!F23="C1",'5_Centroid_Akhir'!B6,IF('4_Iterasi_2'!F23="C2",'5_Centroid_Akhir'!C6,'5_Centroid_Akhir'!D6)))^2</f>
        <v>4.9382716049382713E-2</v>
      </c>
      <c r="H17" s="71">
        <f>('2_Normalisasi'!L17-IF('4_Iterasi_2'!F23="C1",'5_Centroid_Akhir'!B7,IF('4_Iterasi_2'!F23="C2",'5_Centroid_Akhir'!C7,'5_Centroid_Akhir'!D7)))^2</f>
        <v>4.340277777777779E-2</v>
      </c>
      <c r="I17" s="66">
        <f t="shared" si="0"/>
        <v>0.30069015775034291</v>
      </c>
    </row>
    <row r="18" spans="1:9" ht="21.75" customHeight="1" x14ac:dyDescent="0.25">
      <c r="A18" s="31">
        <f>'2_Normalisasi'!A18</f>
        <v>15</v>
      </c>
      <c r="B18" s="67" t="str">
        <f>'2_Normalisasi'!B18</f>
        <v>Museum Diponegoro</v>
      </c>
      <c r="C18" s="32" t="str">
        <f>'4_Iterasi_2'!F24&amp;" · "&amp;'4_Iterasi_2'!G24</f>
        <v>C3 · Prioritas Sedang</v>
      </c>
      <c r="D18" s="68">
        <f>('2_Normalisasi'!H18-IF('4_Iterasi_2'!F24="C1",'5_Centroid_Akhir'!B3,IF('4_Iterasi_2'!F24="C2",'5_Centroid_Akhir'!C3,'5_Centroid_Akhir'!D3)))^2</f>
        <v>0.28444444444444444</v>
      </c>
      <c r="E18" s="68">
        <f>('2_Normalisasi'!I18-IF('4_Iterasi_2'!F24="C1",'5_Centroid_Akhir'!B4,IF('4_Iterasi_2'!F24="C2",'5_Centroid_Akhir'!C4,'5_Centroid_Akhir'!D4)))^2</f>
        <v>2.5000000000000044E-3</v>
      </c>
      <c r="F18" s="68">
        <f>('2_Normalisasi'!J18-IF('4_Iterasi_2'!F24="C1",'5_Centroid_Akhir'!B5,IF('4_Iterasi_2'!F24="C2",'5_Centroid_Akhir'!C5,'5_Centroid_Akhir'!D5)))^2</f>
        <v>2.2500000000000006E-2</v>
      </c>
      <c r="G18" s="68">
        <f>('2_Normalisasi'!K18-IF('4_Iterasi_2'!F24="C1",'5_Centroid_Akhir'!B6,IF('4_Iterasi_2'!F24="C2",'5_Centroid_Akhir'!C6,'5_Centroid_Akhir'!D6)))^2</f>
        <v>6.3999999999999934E-3</v>
      </c>
      <c r="H18" s="68">
        <f>('2_Normalisasi'!L18-IF('4_Iterasi_2'!F24="C1",'5_Centroid_Akhir'!B7,IF('4_Iterasi_2'!F24="C2",'5_Centroid_Akhir'!C7,'5_Centroid_Akhir'!D7)))^2</f>
        <v>0.16000000000000036</v>
      </c>
      <c r="I18" s="66">
        <f t="shared" si="0"/>
        <v>0.47584444444444485</v>
      </c>
    </row>
    <row r="20" spans="1:9" ht="13.5" customHeight="1" x14ac:dyDescent="0.25"/>
    <row r="21" spans="1:9" ht="21.75" customHeight="1" x14ac:dyDescent="0.25">
      <c r="A21" s="73" t="s">
        <v>158</v>
      </c>
      <c r="B21" s="73"/>
      <c r="C21" s="73"/>
      <c r="D21" s="79">
        <f>SUMIF('4_Iterasi_2'!F10:F24,"C1",I4:I18)</f>
        <v>0</v>
      </c>
      <c r="E21" s="79"/>
      <c r="F21" s="79"/>
      <c r="G21" s="79"/>
      <c r="H21" s="79"/>
    </row>
    <row r="22" spans="1:9" ht="21.75" customHeight="1" x14ac:dyDescent="0.25">
      <c r="A22" s="75" t="s">
        <v>159</v>
      </c>
      <c r="B22" s="75"/>
      <c r="C22" s="75"/>
      <c r="D22" s="80">
        <f>SUMIF('4_Iterasi_2'!F10:F24,"C2",I4:I18)</f>
        <v>2.7688580246913586</v>
      </c>
      <c r="E22" s="80"/>
      <c r="F22" s="80"/>
      <c r="G22" s="80"/>
      <c r="H22" s="80"/>
    </row>
    <row r="23" spans="1:9" ht="21.75" customHeight="1" x14ac:dyDescent="0.25">
      <c r="A23" s="77" t="s">
        <v>160</v>
      </c>
      <c r="B23" s="77"/>
      <c r="C23" s="77"/>
      <c r="D23" s="81">
        <f>SUMIF('4_Iterasi_2'!F10:F24,"C3",I4:I18)</f>
        <v>1.1070277777777782</v>
      </c>
      <c r="E23" s="81"/>
      <c r="F23" s="81"/>
      <c r="G23" s="81"/>
      <c r="H23" s="81"/>
    </row>
    <row r="25" spans="1:9" ht="27.75" customHeight="1" x14ac:dyDescent="0.25">
      <c r="A25" s="82" t="s">
        <v>161</v>
      </c>
      <c r="B25" s="82"/>
      <c r="C25" s="82"/>
      <c r="D25" s="83">
        <f>D21+D22+D23</f>
        <v>3.8758858024691367</v>
      </c>
      <c r="E25" s="83"/>
      <c r="F25" s="83"/>
      <c r="G25" s="83"/>
      <c r="H25" s="83"/>
    </row>
  </sheetData>
  <mergeCells count="10">
    <mergeCell ref="A23:C23"/>
    <mergeCell ref="D23:H23"/>
    <mergeCell ref="A25:C25"/>
    <mergeCell ref="D25:H25"/>
    <mergeCell ref="A1:J1"/>
    <mergeCell ref="A2:J2"/>
    <mergeCell ref="A21:C21"/>
    <mergeCell ref="D21:H21"/>
    <mergeCell ref="A22:C22"/>
    <mergeCell ref="D22:H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1_Data_Asli</vt:lpstr>
      <vt:lpstr>2_Normalisasi</vt:lpstr>
      <vt:lpstr>3_Centroid_Awal</vt:lpstr>
      <vt:lpstr>4_Iterasi_1</vt:lpstr>
      <vt:lpstr>4_Iterasi_2</vt:lpstr>
      <vt:lpstr>5_Centroid_Akhir</vt:lpstr>
      <vt:lpstr>6_Hasil_Akhir</vt:lpstr>
      <vt:lpstr>7_SSE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2026-05-13T07:02:33Z</dcterms:created>
  <dcterms:modified xsi:type="dcterms:W3CDTF">2026-05-13T07:41:43Z</dcterms:modified>
  <dc:language>en-US</dc:language>
</cp:coreProperties>
</file>